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1c585ac26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术前讨论记录" sheetId="1" r:id="R4e6c1987b7d64b0f"/>
    <x:sheet xmlns:r="http://schemas.openxmlformats.org/officeDocument/2006/relationships" name="临床复核" sheetId="2" r:id="R42193f7bdc7b4f25"/>
    <x:sheet xmlns:r="http://schemas.openxmlformats.org/officeDocument/2006/relationships" name="事件时间轴" sheetId="3" r:id="R73acce1e3f1c419a"/>
    <x:sheet xmlns:r="http://schemas.openxmlformats.org/officeDocument/2006/relationships" name="量化核算" sheetId="4" r:id="R71c3efa1a972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 hh:mm:ss"/>
    <x:numFmt numFmtId="201" formatCode="0"/>
    <x:numFmt numFmtId="202" formatCode="0.############"/>
    <x:numFmt numFmtId="203" formatCode="0.000000"/>
    <x:numFmt numFmtId="204" formatCode="0.00"/>
    <x:numFmt numFmtId="205" formatCode="0.0000"/>
    <x:numFmt numFmtId="206" formatCode="yyyy-mm-dd hh:mm"/>
    <x:numFmt numFmtId="207" formatCode="0.0"/>
    <x:numFmt numFmtId="208" formatCode="0.00%"/>
  </x:numFmts>
  <x:fonts count="3">
    <x:font>
      <x:sz val="11"/>
      <x:name val="Carlito"/>
    </x:font>
    <x:font>
      <x:sz val="10"/>
      <x:color rgb="FF00000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204" fontId="1" fillId="0" borderId="1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  <x:xf numFmtId="206" fontId="1" fillId="0" borderId="1" xfId="0" applyNumberFormat="1" applyFont="1" applyFill="1" applyBorder="1" applyAlignment="1">
      <x:alignment vertical="top" wrapText="1"/>
    </x:xf>
    <x:xf numFmtId="207" fontId="1" fillId="0" borderId="1" xfId="0" applyNumberFormat="1" applyFont="1" applyFill="1" applyBorder="1" applyAlignment="1">
      <x:alignment vertical="top" wrapText="1"/>
    </x:xf>
    <x:xf numFmtId="208" fontId="1" fillId="0" borderId="1" xfId="0" applyNumberFormat="1" applyFont="1" applyFill="1" applyBorder="1" applyAlignment="1">
      <x:alignment vertical="top" wrapText="1"/>
    </x:xf>
    <x:xf numFmtId="202" fontId="1" fillId="2" borderId="1" xfId="0" applyNumberFormat="1" applyFont="1" applyFill="1" applyBorder="1" applyAlignment="1">
      <x:alignment vertical="top" wrapText="1"/>
    </x:xf>
    <x:xf numFmtId="202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edeed52ba474b" /><Relationship Type="http://schemas.openxmlformats.org/officeDocument/2006/relationships/theme" Target="/xl/theme/theme1.xml" Id="Rfe8eea560710455e" /><Relationship Type="http://schemas.openxmlformats.org/officeDocument/2006/relationships/sharedStrings" Target="/xl/sharedStrings.xml" Id="Rb3d21a8014d74779" /><Relationship Type="http://schemas.openxmlformats.org/officeDocument/2006/relationships/worksheet" Target="/xl/worksheets/sheet1.xml" Id="R4e6c1987b7d64b0f" /><Relationship Type="http://schemas.openxmlformats.org/officeDocument/2006/relationships/worksheet" Target="/xl/worksheets/sheet2.xml" Id="R42193f7bdc7b4f25" /><Relationship Type="http://schemas.openxmlformats.org/officeDocument/2006/relationships/worksheet" Target="/xl/worksheets/sheet3.xml" Id="R73acce1e3f1c419a" /><Relationship Type="http://schemas.openxmlformats.org/officeDocument/2006/relationships/worksheet" Target="/xl/worksheets/sheet4.xml" Id="R71c3efa1a97248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12" hidden="0" customWidth="1"/>
  </x:cols>
  <x:sheetData>
    <x:row r="1" ht="24" customHeight="1">
      <x:c r="A1" s="4" t="str">
        <x:v>术前讨论记录</x:v>
      </x:c>
      <x:c r="B1" s="4"/>
    </x:row>
    <x:row r="2" ht="24" customHeight="1">
      <x:c r="A2" s="4" t="str">
        <x:v>CV-01｜讨论时间：2021年1月18日18:00｜心脏外科、心内科、消化内科、麻醉科及临床药学联合意见。</x:v>
      </x:c>
      <x:c r="B2" s="4"/>
    </x:row>
    <x:row r="3" ht="24" customHeight="1">
      <x:c r="A3" s="4"/>
      <x:c r="B3" s="4"/>
    </x:row>
    <x:row r="4" ht="40" customHeight="1">
      <x:c r="A4" s="6" t="str">
        <x:v>项目</x:v>
      </x:c>
      <x:c r="B4" s="6" t="str">
        <x:v>讨论记录</x:v>
      </x:c>
    </x:row>
    <x:row r="5" ht="24" customHeight="1">
      <x:c r="A5" s="4" t="str">
        <x:v>患者信息</x:v>
      </x:c>
      <x:c r="B5" s="4" t="str">
        <x:v>CV-01，女，74岁；心脏外科，V08，08床。入院2021-01-16 14:43，讨论2021-01-18 18:00。</x:v>
      </x:c>
    </x:row>
    <x:row r="6" ht="24" customHeight="1">
      <x:c r="A6" s="4" t="str">
        <x:v>主诉</x:v>
      </x:c>
      <x:c r="B6" s="4" t="str">
        <x:v>双机械瓣置换术后13余年，活动后心累6余月。</x:v>
      </x:c>
    </x:row>
    <x:row r="7" ht="99" customHeight="1">
      <x:c r="A7" s="4" t="str">
        <x:v>现病史</x:v>
      </x:c>
      <x:c r="B7" s="4" t="str">
        <x:v>患者2007年行主动脉瓣及二尖瓣机械瓣置换。近6个月活动后心累加重；2020年7月及8月底两次因消化道出血、重度贫血延后主动脉瓣再手术，11月3日患者家属选择暂行保守治疗。12月完成消化道评估，两处空肠血管扩张灶经氩气凝固治疗；此后未再出现肉眼黑便、呕血或血便。本次入院仍有活动后心累，静息时生命体征平稳。今日CBC血红蛋白110 g/L，较昨日同方法109 g/L稳定；INR 1.19。TTE、TEE和门控CT提示人工主动脉瓣固定瓣下组织增生并限制瓣叶开放。
依据：06_病程记录_2021-01-18.xlsx，BC-0065、BC-9001；07_超声检查报告_2021-01-18.pdf，第12—13页；08_CT检查报告_2021-01-18.pdf，第5页；09_内镜检查报告_2020-12-18.pdf，第6—9页。</x:v>
      </x:c>
    </x:row>
    <x:row r="8" ht="84" customHeight="1">
      <x:c r="A8" s="4" t="str">
        <x:v>既往史</x:v>
      </x:c>
      <x:c r="B8" s="4" t="str">
        <x:v>原主动脉瓣为St. Jude Medical双叶机械瓣23 mm，二尖瓣为同型机械瓣27 mm，术后长期服用华法林。2020年8月CTA曾显示肺栓塞；本次因活动后气紧于1月15日复查CTPA，未见肺动脉充盈缺损。既往胆囊及子宫切除、输血；无药物过敏记录。院外华法林实际末服为1月12日20:00，依诺肝素实际末针为1月17日20:00。
依据：05_入院记录_2021-01-16.pdf，第1页；08_CT检查报告_2021-01-18.pdf，第1、4页；11_药品医嘱单_2021-01-18.xlsx，围术期给药与药历GY-0001—GY-0004。</x:v>
      </x:c>
    </x:row>
    <x:row r="9" ht="54" customHeight="1">
      <x:c r="A9" s="4" t="str">
        <x:v>体格检查及专科检查</x:v>
      </x:c>
      <x:c r="B9" s="4" t="str">
        <x:v>1月18日T36.3℃，P84，R20，BP132/66mmHg，空气下SpO₂97%；神清，肺清，主动脉瓣区收缩期喷射性杂音，肢端暖。右桡动脉17:55止血良好，无血肿，右手灌注良好。
06_病程记录_2021-01-18.xlsx｜病程记录（BC-0065、BC-0066）</x:v>
      </x:c>
    </x:row>
    <x:row r="10" ht="144" customHeight="1">
      <x:c r="A10" s="4" t="str">
        <x:v>辅助检查</x:v>
      </x:c>
      <x:c r="B10" s="4" t="str">
        <x:v>历史超声显示主动脉瓣参数逐年升高，2014年Vmax 3.9 m/s、PGmean 38 mmHg，2015年4.1 m/s、41 mmHg，2020年8月31日5.9 m/s、87 mmHg。贫血改善后9月10日降至5.1 m/s、57 mmHg；12月9日为4.9 m/s、59 mmHg，仍有明显残余异常。两段PGmean分别变化−30 mmHg（−34.48%）、+2 mmHg（+3.51%）；Vmax分别变化−0.8 m/s（−13.56%）、−0.2 m/s（−3.92%）。12月简化Bernoulli峰值为96.04 mmHg，与报告98 mmHg相差−1.96 mmHg；该复核忽略LVOT近端峰值流速0.9 m/s，且受显示舍入与取样影响，不构成报告错误的证明，亦不能替代平均压差。
今日AVR：Vmax 4.8 m/s、PGmean 58 mmHg、DVI 0.22、AT 124 ms、EOA 0.78 cm²；SV 65 mL、BSA 1.53 m²，SVI 42.48 mL/m²、当前EOAi 0.51 cm²/m²。2008年同瓣基线EOA 1.6 cm²，以当前BSA比较为1.05 cm²/m²。MVR EOA 2.0 cm²，瓣叶活动正常。TEE和门控CT见固定半环形瓣下组织增生，CT密度185 HU，厚约4 mm；一侧瓣叶开放受限，未见活动性团块或血栓影像。
依据：07_超声检查报告_2021-01-18.pdf，第1—13页；08_CT检查报告_2021-01-18.pdf，第5页；13_人工瓣超声评估_2009.pdf，第5、14、16页。</x:v>
      </x:c>
    </x:row>
    <x:row r="11" ht="129" customHeight="1">
      <x:c r="A11" s="4" t="str">
        <x:v>诊断与鉴别</x:v>
      </x:c>
      <x:c r="B11" s="4" t="str">
        <x:v>主要诊断为人工主动脉瓣血管翳所致显著梗阻性功能障碍，机械二尖瓣功能正常。既往空肠血管扩张相关反复失血，经内镜处理后目前无活动性出血证据，仍有缺铁性贫血成分。铁蛋白22.4 ng/mL虽处本院参考区间，仍低于AGA贫血人群45 ng/mL的诊断界值；sTfR 2.71 mg/L升高。LDH 221 U/L、间接胆红素9.6 μmol/L、结合珠蛋白0.86 g/L及碎片红细胞0.2%，不支持显著机械瓣溶血为主要贫血机制。昨日CBC 109 g/L与16:25血气ctHb 101.7 g/L分属不同方法与时点，今日同方法CBC稳定。
瓣膜机制以固定组织增生、受限瓣叶和多年进展为依据；当前低INR提示抗栓保护不足，尚无影像证实瓣膜血栓。正常范围的SVI、低DVI、延长AT及同瓣基线面积下降共同支持获得性梗阻，单纯贫血高流量或原发瓣膜与患者不匹配不足以解释全部资料。当前CTPA未显示残留肺栓塞。
依据：10_检验报告单_2021-01-18.xlsx，JY-1964、JY-2104、JY-90001及JY-90005—90012；18_缺铁性贫血消化道评估_2020.pdf，第1—2页；当前瓣膜及CT报告。</x:v>
      </x:c>
    </x:row>
    <x:row r="12" ht="129" customHeight="1">
      <x:c r="A12" s="4" t="str">
        <x:v>消化道证据与时序</x:v>
      </x:c>
      <x:c r="B12" s="4" t="str">
        <x:v>随访窗口内11次独立粪便隐血检验，阳性及弱阳性5次，比例45.45%；最近阳性为12月15日，全部阳性记录均早于12月18日内镜治疗。该比例描述检验结果，不能替代当前活动出血评价。早期胃镜视野及结肠镜范围不足；12月完整胶囊、质量合格双向内镜及小肠镜治疗已补足评估，空肠血管扩张灶与失血病史相符。9月8日病程所载胃镜经登记核对为9月3日同一次检查。
ASGE复发小肠出血路径适用于此前病源未明阶段；AGA无症状、无并发症且双向内镜阴性后先补铁的建议，不能直接覆盖本例反复重度失血与持续抗凝需求。现继续补铁并监测；若复发肉眼出血或进行性贫血，按循环稳定性和既往检查质量选择复查内镜、小肠或血管评估。旧CTA8月6日正式出具、8月13日门诊阅知、8月11日病房“未回”的记录分别反映报告与临床取得信息的时点。
依据：10_检验报告单_2021-01-18.xlsx，常规检验JY-6937—JY-7396及JY-2089；06_病程记录_2021-01-18.xlsx，BC-9005；16_小肠出血内镜评估_2017.pdf，第2—5、9页；18_缺铁性贫血消化道评估_2020.pdf，第7—8页。</x:v>
      </x:c>
    </x:row>
    <x:row r="13" ht="84" customHeight="1">
      <x:c r="A13" s="4" t="str">
        <x:v>讨论结论</x:v>
      </x:c>
      <x:c r="B13" s="4" t="str">
        <x:v>讨论意见：有症状的获得性人工主动脉瓣显著梗阻，存在再次手术指征。消化道病灶已处理，近期便色及同方法Hb稳定；今日冠脉造影无需PCI或同期CABG，桡动脉止血及手灌注良好。支持按最新排台1月19日09:30再次AVR，保留功能正常的机械MVR；主动脉瓣选择结合年龄、出血负担和患者知情选择确定。开刀条件为今晚桥接安排已修订、实际停药间隔充分、术前凝血与止血评估合格，麻醉、体外循环、血制品及ICU准备落实。新发活动性出血、Hb进行性下降或凝血不合格时即重评排台；急性卡瓣或循环崩溃进入紧急瓣膜及ICU处置。
依据：06_病程记录_2021-01-18.xlsx，BC-9001、BC-9004、BC-0066；当前影像与检验；14_心脏瓣膜病指南_2020.pdf，§11.1—11.3。</x:v>
      </x:c>
    </x:row>
    <x:row r="14" ht="144" customHeight="1">
      <x:c r="A14" s="4" t="str">
        <x:v>术前抗凝计划</x:v>
      </x:c>
      <x:c r="B14" s="4" t="str">
        <x:v>术前桥接方案、当前及备用排台的停药窗口、配液和监测详见《围术期抗凝交接表》。此处均为会议建议，须经主管医师确认后形成医嘱。</x:v>
      </x:c>
    </x:row>
    <x:row r="15" ht="129" customHeight="1">
      <x:c r="A15" s="4" t="str">
        <x:v>术后与长期安排</x:v>
      </x:c>
      <x:c r="B15" s="4" t="str">
        <x:v>保留机械二尖瓣，长期VKA需求仍存在，通常INR目标3.0、范围2.5—3.5。术后抗凝恢复及衔接条件见《围术期抗凝交接表》；继续消化道、贫血及肺栓塞症状随访。</x:v>
      </x:c>
    </x:row>
    <x:row r="16" ht="54" customHeight="1">
      <x:c r="A16" s="4" t="str">
        <x:v>危险情况处置</x:v>
      </x:c>
      <x:c r="B16" s="4" t="str">
        <x:v>出血与再手术、体外循环相关风险并存：黑便、呕血或持续渗血伴头晕、低血压及晕厥时，立即呼叫主管与急救团队，进行复苏、输血和止血评估。突发气促、低氧或胸痛时，立即开展心肺、PE及瓣膜评估；偏瘫或语言障碍立即启动神经急症评估。急性卡瓣及循环不稳进入紧急瓣膜团队/ICU路径。院外出现上述严重表现立即呼叫120或就近急诊。今晚持续观察桡动脉穿刺处及右手灌注，备妥出血评估和紧急消化内镜协作。</x:v>
      </x:c>
    </x:row>
    <x:row r="17" ht="114" customHeight="1">
      <x:c r="A17" s="4" t="str">
        <x:v>患者沟通安排</x:v>
      </x:c>
      <x:c r="B17" s="4" t="str">
        <x:v>向患者及女儿说明手术依据、出血与抗凝取舍、瓣型与长期用药关系及紧急就医，独立说明见《再次瓣膜手术患者沟通说明》。知情同意由临床团队另行完成。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6" hidden="0" customWidth="1"/>
    <x:col min="3" max="3" width="59" hidden="0" customWidth="1"/>
    <x:col min="4" max="4" width="54" hidden="0" customWidth="1"/>
    <x:col min="5" max="5" width="61" hidden="0" customWidth="1"/>
  </x:cols>
  <x:sheetData>
    <x:row r="1" ht="24" customHeight="1">
      <x:c r="A1" s="4" t="str">
        <x:v>再次AVR术前临床复核</x:v>
      </x:c>
      <x:c r="B1" s="4"/>
      <x:c r="C1" s="4"/>
      <x:c r="D1" s="4"/>
      <x:c r="E1" s="4"/>
    </x:row>
    <x:row r="2" ht="24" customHeight="1">
      <x:c r="A2" s="4" t="str">
        <x:v>CV-01｜讨论时间：2021年1月18日18:00｜拟于1月19日09:30再次AVR，保留机械MVR。</x:v>
      </x:c>
      <x:c r="B2" s="4"/>
      <x:c r="C2" s="4"/>
      <x:c r="D2" s="4"/>
      <x:c r="E2" s="4"/>
    </x:row>
    <x:row r="3" ht="24" customHeight="1">
      <x:c r="A3" s="4"/>
      <x:c r="B3" s="4"/>
      <x:c r="C3" s="4"/>
      <x:c r="D3" s="4"/>
      <x:c r="E3" s="4"/>
    </x:row>
    <x:row r="4" ht="40" customHeight="1">
      <x:c r="A4" s="6" t="str">
        <x:v>复核事项</x:v>
      </x:c>
      <x:c r="B4" s="6" t="str">
        <x:v>事实及证据</x:v>
      </x:c>
      <x:c r="C4" s="6" t="str">
        <x:v>临床判断</x:v>
      </x:c>
      <x:c r="D4" s="6" t="str">
        <x:v>复核与监测安排</x:v>
      </x:c>
      <x:c r="E4" s="6" t="str">
        <x:v>对安排的影响</x:v>
      </x:c>
    </x:row>
    <x:row r="5" ht="84" customHeight="1">
      <x:c r="A5" s="4" t="str">
        <x:v>手术总体意见</x:v>
      </x:c>
      <x:c r="B5" s="4" t="str">
        <x:v>双机械瓣术后13余年，长期活动后心累。既往两次因消化道出血延期，2020-11-03家属暂保守。现有TTE、TEE及门控CT显示固定血管翳限制AVR瓣叶；消化病灶已治疗，当前Hb及便色稳定；冠脉无显著狭窄。
07_超声检查报告_2021-01-18.pdf第12–13页；08_CT检查报告_2021-01-18.pdf第5页；06_病程记录_2021-01-18.xlsx｜病程记录（BC-0066、BC-9001）</x:v>
      </x:c>
      <x:c r="C5" s="4" t="str">
        <x:v>支持按最新09:30排台推进再次AVR；会前UFH停泵时间应随排台修订。</x:v>
      </x:c>
      <x:c r="D5" s="4" t="str">
        <x:v>今晚及次日开刀前复查当前出血、桡动脉止血、APTT/CBC与血流动力学。</x:v>
      </x:c>
      <x:c r="E5" s="4" t="str">
        <x:v>当前无活动性出血证据，冠脉及穿刺状态可接受；以短效桥接、术前停药及凝血/止血条件充分为前提推进09:30手术。新发出血或凝血不合格时重评；急性卡瓣或循环崩溃立即紧急瓣膜评估。</x:v>
      </x:c>
    </x:row>
    <x:row r="6" ht="54" customHeight="1">
      <x:c r="A6" s="4" t="str">
        <x:v>主动脉瓣跨期变化</x:v>
      </x:c>
      <x:c r="B6" s="4" t="str">
        <x:v>2010年Vmax 2.69；2014年3.9/PGmean38；2015年4.1/41；2020-08-31为5.9/87；9-10为5.1/57；12-09为4.9/59（m/s、mmHg）。
07_超声检查报告_2021-01-18.pdf 第2页；第4–5、9–11页</x:v>
      </x:c>
      <x:c r="C6" s="4" t="str">
        <x:v>长期参数进展，贫血改善后仍有高跨瓣梯度；当前正常范围SVI、DVI 0.22、AT 124 ms及瓣叶受限支持显著器质性梗阻。</x:v>
      </x:c>
      <x:c r="D6" s="4" t="str">
        <x:v>本次TTE的DVI0.22、AT124ms、AVR EOA0.78cm²；SV65mL、BSA1.53m²，SVI42.48mL/m²。2008年同瓣EOA1.6cm²。</x:v>
      </x:c>
      <x:c r="E6" s="4" t="str">
        <x:v>旧报告文字结论与多年数值进展存在差异；现有多模态结果为手术机制与时机提供依据。</x:v>
      </x:c>
    </x:row>
    <x:row r="7" ht="69" customHeight="1">
      <x:c r="A7" s="4" t="str">
        <x:v>梗阻机制与瓣位</x:v>
      </x:c>
      <x:c r="B7" s="4" t="str">
        <x:v>2021-01-18 TEE示固定半环形瓣下增生，无活动性团块；门控CT厚约4mm、185HU，一侧最大开放角43°；MVR活动正常。
07_超声检查报告_2021-01-18.pdf第12–13页；08_CT检查报告_2021-01-18.pdf第5页</x:v>
      </x:c>
      <x:c r="C7" s="4" t="str">
        <x:v>固定组织、较高CT密度、受限瓣叶及获得性进展支持血管翳主导；低INR提示血栓风险，尚无当前瓣膜血栓影像。</x:v>
      </x:c>
      <x:c r="D7" s="4" t="str">
        <x:v>当前AVR EOA0.78cm²，MVR EOA2.0cm²；2008年AVR EOA1.6cm²。瓣位、初始值和取得时间须分开。</x:v>
      </x:c>
      <x:c r="E7" s="4" t="str">
        <x:v>处理AVR并保留功能正常MVR；固定血管翳以外科处理为方向，组织性质最终由手术及病理确认。</x:v>
      </x:c>
    </x:row>
    <x:row r="8" ht="99" customHeight="1">
      <x:c r="A8" s="4" t="str">
        <x:v>出血是否已解决</x:v>
      </x:c>
      <x:c r="B8" s="4" t="str">
        <x:v>随访期11次粪隐血中5次阳性/弱阳性，最近阳性2020-12-15。12-18血管扩张灶已内镜治疗，最近肉眼黑便9-05；1-17粪隐血阴性，1-18同方法Hb110，较前日109稳定。
09_内镜检查报告_2020-12-18.pdf第6–9页；10_检验报告单_2021-01-18.xlsx｜血细胞（JY-90001）；06_病程记录_2021-01-18.xlsx｜病程记录（BC-0065、BC-9001）</x:v>
      </x:c>
      <x:c r="C8" s="4" t="str">
        <x:v>内镜病源已处理，当前无活动性出血证据；历史阳性检验均属治疗前，后续仍需监测复发。</x:v>
      </x:c>
      <x:c r="D8" s="4" t="str">
        <x:v>继续补铁；围术期跟踪便色、同方法Hb及血流动力学，备紧急内镜协作。</x:v>
      </x:c>
      <x:c r="E8" s="4" t="str">
        <x:v>目前消化情况允许在监测和应急内镜安排下推进手术；若新发出血或Hb进行性下降，立即升级并重评。</x:v>
      </x:c>
    </x:row>
    <x:row r="9" ht="84" customHeight="1">
      <x:c r="A9" s="4" t="str">
        <x:v>贫血机制</x:v>
      </x:c>
      <x:c r="B9" s="4" t="str">
        <x:v>9月铁蛋白12.3/15.5ng/mL、sTfR3.45/3.96mg/L；1月18日铁蛋白22.4、sTfR2.71。当前LDH221U/L、间胆9.6µmol/L、结合珠蛋白0.86g/L、碎片红细胞0.2%、网织25.5‰。同日CBC Hb110g/L。
10_检验报告单_2021-01-18.xlsx｜血细胞、生化与贫血（JY-90001、JY-90005至90012；9月JY-1660/1663/1680/1719/1722）</x:v>
      </x:c>
      <x:c r="C9" s="4" t="str">
        <x:v>当前Hb仍低于女性参考下限；铁蛋白22.4虽在本院13–150参考区间内，仍低于AGA贫血人群45ng/mL诊断界值，结合高sTfR支持失血后缺铁成分。不能把检验参考区间等同诊断排除阈值。现有溶血指标不支持显著机械瓣溶血为主因；历史网织升高可见于恢复反应。</x:v>
      </x:c>
      <x:c r="D9" s="4" t="str">
        <x:v>继续补铁并随访同方法Hb及铁代谢；当前完整溶血检查与低铁储备共同支持上述判断。</x:v>
      </x:c>
      <x:c r="E9" s="4" t="str">
        <x:v>昨日CBC 109 g/L与血气ctHb 101.7 g/L分属不同方法及时间；今日同方法Hb 110 g/L，结合体征未见短时再出血证据。</x:v>
      </x:c>
    </x:row>
    <x:row r="10" ht="84" customHeight="1">
      <x:c r="A10" s="4" t="str">
        <x:v>内镜时序与病源</x:v>
      </x:c>
      <x:c r="B10" s="4" t="str">
        <x:v>早期胃镜黏液影响观察，7月结肠镜仅至脾曲；8月胶囊仅转述排空亢进。12月完整胶囊、质量合格双向内镜和小肠镜治疗记录显示；9月8“今日”与内镜登记对应为9月3旧文字。
09_内镜检查报告_2020-12-18.pdf第2–9页；06_病程记录_2021-01-18.xlsx｜病程记录（BC-0048、BC-9001）</x:v>
      </x:c>
      <x:c r="C10" s="4" t="str">
        <x:v>两处空肠血管扩张与反复失血病史相符，抗凝可加重出血；已完成的质量合格检查补足早期检查范围。</x:v>
      </x:c>
      <x:c r="D10" s="4" t="str">
        <x:v>AGA先补铁不常规胶囊条款面向无并发症、无症状、双向内镜阴性者；本例既往严重反复出血且需持续抗凝，已有ASGE路径下的进一步检查及治疗。</x:v>
      </x:c>
      <x:c r="E10" s="4" t="str">
        <x:v>当前以术前监测及补铁为主；复发时按稳定性及既往检查质量重定内镜/小肠评估路径。</x:v>
      </x:c>
    </x:row>
    <x:row r="11" ht="69" customHeight="1">
      <x:c r="A11" s="4" t="str">
        <x:v>肺栓塞与当前影像</x:v>
      </x:c>
      <x:c r="B11" s="4" t="str">
        <x:v>2020-08-06正式CTA支持右上、中叶分支PE；转述8-13为门诊首次阅知日期。2021-01-15针对活动后气紧复查CTPA，未见充盈缺损；1-16普通CT并非CTPA。
08_CT检查报告_2021-01-18.pdf第1–4页；06_病程记录_2021-01-18.xlsx｜病程记录（BC-9003、BC-0065）</x:v>
      </x:c>
      <x:c r="C11" s="4" t="str">
        <x:v>当前CTPA无残留PE影像，活动后气紧结合AVR梗阻和慢性肺病评估；保留MVR仍需长期VKA。</x:v>
      </x:c>
      <x:c r="D11" s="4" t="str">
        <x:v>继续随访症状、耐量、出血和复发；有新发症状时按问题选择评估，现时不要求再做无目的CTPA。</x:v>
      </x:c>
      <x:c r="E11" s="4" t="str">
        <x:v>以症状、耐量、复发与出血随访；当前无重复CTPA指征。</x:v>
      </x:c>
    </x:row>
    <x:row r="12" ht="99" customHeight="1">
      <x:c r="A12" s="4" t="str">
        <x:v>药历与实际执行</x:v>
      </x:c>
      <x:c r="B12" s="4" t="str">
        <x:v>出院药房处方1片与用药说明1/1.5片交替口径不同。9月15日先3.75mg，连续交替至1月12日为2.5mg；120日逐日记录与末服一致。13日起停VKA，16日晚开始依诺，实际3针；造影UFH实用5000U一次。
11_药品医嘱单_2021-01-18.xlsx｜出院及门诊、长期医嘱、临时医嘱、围术期给药与药历、院外服药日历（YZ-0217、YZ-0295、YZ-0310、GY-0001至0005、GY-W001至120）</x:v>
      </x:c>
      <x:c r="C12" s="4" t="str">
        <x:v>按实际药历确认华法林及依诺末次执行。12500 U为造影领药规格，17:15实际用量5000 U；停嘱与末针时刻分别核算。</x:v>
      </x:c>
      <x:c r="D12" s="4" t="str">
        <x:v>LMWH医嘱为40 mg/次、0.7273 mg/kg/次，方案日量80 mg；CG 59.19 mL/min。说明书不同适应证的剂量参照用于比较，本例桥接结合机械瓣和出血风险独立制定。</x:v>
      </x:c>
      <x:c r="E12" s="4" t="str">
        <x:v>最新09:30排台下，依诺末针至手术37.5h；原拟案若08:30停UFH仅间隔1h，不能直接采用。</x:v>
      </x:c>
    </x:row>
    <x:row r="13" ht="69" customHeight="1">
      <x:c r="A13" s="4" t="str">
        <x:v>LMWH强度与肾功能</x:v>
      </x:c>
      <x:c r="B13" s="4" t="str">
        <x:v>机械MVR保留；1月16/17/18日INR1.41/1.24/1.19。两份拟案形成于17:20，17:50麻醉排台改为次日09:30，原14:30取消，18:30备用。
11_药品医嘱单_2021-01-18.xlsx｜围术期会前拟案（FA-01、FA-02）；06_病程记录_2021-01-18.xlsx｜病程记录（BC-9002、BC-9004）</x:v>
      </x:c>
      <x:c r="C13" s="4" t="str">
        <x:v>机械MVR通常目标INR 3.0、范围2.5—3.5；当前VKA保护不足。兼顾既往出血和机械瓣风险，倾向选择短效、可监测的UFH。</x:v>
      </x:c>
      <x:c r="D13" s="4" t="str">
        <x:v>倾向经主管确认采用无负荷短效UFH，按55kg为660U/h；12500U/250mL为50U/mL，泵速13.2mL/h。目标APTT45–60s，开始或调整后4h复查；结合CBC、穿刺及消化道止血。</x:v>
      </x:c>
      <x:c r="E13" s="4" t="str">
        <x:v>建议03:30停UFH，至09:30间隔6小时，术前复核实际停泵、APTT和止血。FA-01治疗参照55 mg若20:00给药仅间隔13.5小时，不予原样采用。</x:v>
      </x:c>
    </x:row>
    <x:row r="14" ht="84" customHeight="1">
      <x:c r="A14" s="4" t="str">
        <x:v>实际给药与计划停泵</x:v>
      </x:c>
      <x:c r="B14" s="4" t="str">
        <x:v>最新排台为1月19日09:30；依诺停嘱1月18日07:00、末针1月17日20:00；原拟UFH停泵1月19日08:30。
06_病程记录_2021-01-18.xlsx｜病程记录（BC-9004）；11_药品医嘱单_2021-01-18.xlsx｜长期医嘱、围术期给药与药历、围术期会前拟案（YZ-0295、GY-0004、FA-02）</x:v>
      </x:c>
      <x:c r="C14" s="4" t="str">
        <x:v>当前09:30排台对应停嘱26.5小时、实际末针37.5小时，原拟UFH停止仅1小时；取消时段的计算另作历史方案记录。</x:v>
      </x:c>
      <x:c r="D14" s="4" t="str">
        <x:v>若启用18:30备用排台，同步重定覆盖与停泵，4—6小时停止窗口为12:30—14:30；参考选择12:30。</x:v>
      </x:c>
      <x:c r="E14" s="4" t="str">
        <x:v>09:30对应03:30—05:30停止窗口，参考选择03:30。排台变化后同步医嘱、泵速、监测和交接。</x:v>
      </x:c>
    </x:row>
    <x:row r="15" ht="84" customHeight="1">
      <x:c r="A15" s="4" t="str">
        <x:v>术后与紧急升级</x:v>
      </x:c>
      <x:c r="B15" s="4" t="str">
        <x:v>再次瓣膜手术及体外循环为高出血情景；患者既往失血、机械MVR、PE使两类风险并存。
06_病程记录_2021-01-18.xlsx｜病程记录（BC-0039）；19_围术期抗栓管理_2012.pdf §2.1–2.2、§4.2–4.4（中断、恢复、UFH/LMWH桥接）；14_心脏瓣膜病指南_2020.pdf §11.1–11.3（人工瓣影像、抗栓及桥接）</x:v>
      </x:c>
      <x:c r="C15" s="4" t="str">
        <x:v>止血充分/可口服后考虑VKA恢复；治疗强度肝素恢复时机需依据引流、Hb、血小板、肾功能和实际出血。不能只依赖固定小时数。</x:v>
      </x:c>
      <x:c r="D15" s="4" t="str">
        <x:v>建立术后外科/麻醉/心内药师联合评估与INR随访；具体重叠/强度方案由有权限医师确认，若延误每日复评抗凝中断风险。</x:v>
      </x:c>
      <x:c r="E15" s="4" t="str">
        <x:v>黑便/呕血伴症状、持续渗血、低血压/晕厥；急性气促/低氧、胸痛；偏瘫/语言异常：住院立即呼叫主管及急救团队，必要时ICU/急诊手术评估。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18" hidden="0" customWidth="1"/>
    <x:col min="5" max="5" width="24" hidden="0" customWidth="1"/>
    <x:col min="6" max="6" width="60" hidden="0" customWidth="1"/>
    <x:col min="7" max="7" width="76" hidden="0" customWidth="1"/>
  </x:cols>
  <x:sheetData>
    <x:row r="1" ht="24" customHeight="1">
      <x:c r="A1" s="4" t="str">
        <x:v>跨次就诊事件时间轴</x:v>
      </x:c>
      <x:c r="B1" s="4"/>
      <x:c r="C1" s="4"/>
      <x:c r="D1" s="4"/>
      <x:c r="E1" s="4"/>
      <x:c r="F1" s="4"/>
      <x:c r="G1" s="4"/>
    </x:row>
    <x:row r="2" ht="24" customHeight="1">
      <x:c r="A2" s="4" t="str">
        <x:v>CV-01｜按实际事件时间排序；同一检查转述归并，未来排台列为计划。</x:v>
      </x:c>
      <x:c r="B2" s="4"/>
      <x:c r="C2" s="4"/>
      <x:c r="D2" s="4"/>
      <x:c r="E2" s="4"/>
      <x:c r="F2" s="4"/>
      <x:c r="G2" s="4"/>
    </x:row>
    <x:row r="3" ht="24" customHeight="1">
      <x:c r="A3" s="4"/>
      <x:c r="B3" s="4"/>
      <x:c r="C3" s="4"/>
      <x:c r="D3" s="4"/>
      <x:c r="E3" s="4"/>
      <x:c r="F3" s="4"/>
      <x:c r="G3" s="4"/>
    </x:row>
    <x:row r="4" ht="40" customHeight="1">
      <x:c r="A4" s="6" t="str">
        <x:v>日期时间</x:v>
      </x:c>
      <x:c r="B4" s="6" t="str">
        <x:v>对象/事件</x:v>
      </x:c>
      <x:c r="C4" s="6" t="str">
        <x:v>AVR Vmax（m/s）</x:v>
      </x:c>
      <x:c r="D4" s="6" t="str">
        <x:v>AVR PGmean（mmHg）</x:v>
      </x:c>
      <x:c r="E4" s="6" t="str">
        <x:v>同期Hb（标注方法/日期）</x:v>
      </x:c>
      <x:c r="F4" s="6" t="str">
        <x:v>记录内容及临床意义</x:v>
      </x:c>
      <x:c r="G4" s="6" t="str">
        <x:v>来源</x:v>
      </x:c>
    </x:row>
    <x:row r="5" ht="39" customHeight="1">
      <x:c r="A5" s="19" t="n">
        <x:v>40063.500439814816</x:v>
      </x:c>
      <x:c r="B5" s="4" t="str">
        <x:v>超声 JC-0030</x:v>
      </x:c>
      <x:c r="C5" s="20" t="n">
        <x:v>3</x:v>
      </x:c>
      <x:c r="D5" s="20" t="n">
        <x:v>18</x:v>
      </x:c>
      <x:c r="E5" s="4"/>
      <x:c r="F5" s="4" t="str">
        <x:v>二尖瓣及主动脉瓣置换术后； 人工机械瓣功能未见异常； 左室收缩功能测值正常；报告2009-09-07 12:35:38，其后10分钟审核。</x:v>
      </x:c>
      <x:c r="G5" s="4" t="str">
        <x:v>07_超声检查报告_2021-01-18.pdf 第1页</x:v>
      </x:c>
    </x:row>
    <x:row r="6" ht="39" customHeight="1">
      <x:c r="A6" s="19" t="n">
        <x:v>40213.465625</x:v>
      </x:c>
      <x:c r="B6" s="4" t="str">
        <x:v>超声 JC-0032</x:v>
      </x:c>
      <x:c r="C6" s="21" t="n">
        <x:v>2.69</x:v>
      </x:c>
      <x:c r="D6" s="20" t="n">
        <x:v>16</x:v>
      </x:c>
      <x:c r="E6" s="4"/>
      <x:c r="F6" s="4" t="str">
        <x:v>风湿性心脏病双瓣置换术后2年； 人工机械瓣功能正常； 左室收缩功能测值正常；报告2010-02-04 11:45:30，其后10分钟审核。</x:v>
      </x:c>
      <x:c r="G6" s="4" t="str">
        <x:v>07_超声检查报告_2021-01-18.pdf 第2页</x:v>
      </x:c>
    </x:row>
    <x:row r="7" ht="54" customHeight="1">
      <x:c r="A7" s="19" t="n">
        <x:v>41325.45502314815</x:v>
      </x:c>
      <x:c r="B7" s="4" t="str">
        <x:v>超声 JC-0034</x:v>
      </x:c>
      <x:c r="C7" s="21" t="n">
        <x:v>3.4</x:v>
      </x:c>
      <x:c r="D7" s="20" t="n">
        <x:v>25</x:v>
      </x:c>
      <x:c r="E7" s="4"/>
      <x:c r="F7" s="4" t="str">
        <x:v>风湿性心脏病二尖瓣+主动脉瓣置换术后6年； 人工机械瓣功能正常； 三尖瓣反流（轻度）； 左室收缩功能测值正常；报告2013-02-20 11:30:14，其后10分钟审核。</x:v>
      </x:c>
      <x:c r="G7" s="4" t="str">
        <x:v>07_超声检查报告_2021-01-18.pdf 第3页</x:v>
      </x:c>
    </x:row>
    <x:row r="8" ht="54" customHeight="1">
      <x:c r="A8" s="19" t="n">
        <x:v>41843.43865740741</x:v>
      </x:c>
      <x:c r="B8" s="4" t="str">
        <x:v>超声 JC-0035</x:v>
      </x:c>
      <x:c r="C8" s="21" t="n">
        <x:v>3.9</x:v>
      </x:c>
      <x:c r="D8" s="20" t="n">
        <x:v>38</x:v>
      </x:c>
      <x:c r="E8" s="4"/>
      <x:c r="F8" s="4" t="str">
        <x:v>风湿性心脏病双瓣置换术后7年； 人工机械瓣功能未见明显异常； 三尖瓣反流（轻度）； 左室收缩功能测值正常。当期数值已升高，文字结论需结合流量及后续变化解释；报告2014-07-23 11:06:40，其后10分钟审核。</x:v>
      </x:c>
      <x:c r="G8" s="4" t="str">
        <x:v>07_超声检查报告_2021-01-18.pdf 第4页</x:v>
      </x:c>
    </x:row>
    <x:row r="9" ht="54" customHeight="1">
      <x:c r="A9" s="19" t="n">
        <x:v>42214.45773148148</x:v>
      </x:c>
      <x:c r="B9" s="4" t="str">
        <x:v>超声 JC-0039</x:v>
      </x:c>
      <x:c r="C9" s="21" t="n">
        <x:v>4.1</x:v>
      </x:c>
      <x:c r="D9" s="20" t="n">
        <x:v>41</x:v>
      </x:c>
      <x:c r="E9" s="4"/>
      <x:c r="F9" s="4" t="str">
        <x:v>二尖瓣+主动脉瓣置换术后8年； 人工机械瓣功能未见明显异常； 三尖瓣反流（轻度）； 左室收缩功能测值正常。当期数值已升高，文字结论需结合流量及后续变化解释；报告2015-07-29 11:34:08，其后10分钟审核。</x:v>
      </x:c>
      <x:c r="G9" s="4" t="str">
        <x:v>07_超声检查报告_2021-01-18.pdf 第5页</x:v>
      </x:c>
    </x:row>
    <x:row r="10" ht="54" customHeight="1">
      <x:c r="A10" s="19" t="n">
        <x:v>42452.42827546296</x:v>
      </x:c>
      <x:c r="B10" s="4" t="str">
        <x:v>超声 JC-0041</x:v>
      </x:c>
      <x:c r="C10" s="21" t="n">
        <x:v>3.9</x:v>
      </x:c>
      <x:c r="D10" s="20" t="n">
        <x:v>37</x:v>
      </x:c>
      <x:c r="E10" s="4"/>
      <x:c r="F10" s="4" t="str">
        <x:v>二尖瓣+主动脉瓣置换术后近9年； 人工二尖瓣功能未见明显异常； 人工主动脉瓣跨瓣压差增大； 三尖瓣反流（轻度）； 左室收缩功能测值正常；报告2016-03-23 10:51:43，其后10分钟审核。</x:v>
      </x:c>
      <x:c r="G10" s="4" t="str">
        <x:v>07_超声检查报告_2021-01-18.pdf 第6页</x:v>
      </x:c>
    </x:row>
    <x:row r="11" ht="54" customHeight="1">
      <x:c r="A11" s="19" t="n">
        <x:v>43497.36997685185</x:v>
      </x:c>
      <x:c r="B11" s="4" t="str">
        <x:v>超声 JC-0042</x:v>
      </x:c>
      <x:c r="C11" s="20" t="n">
        <x:v>4</x:v>
      </x:c>
      <x:c r="D11" s="20" t="n">
        <x:v>37</x:v>
      </x:c>
      <x:c r="E11" s="4"/>
      <x:c r="F11" s="4" t="str">
        <x:v>二尖瓣+主动脉瓣置换术后近12年 ； 人工二尖瓣功能未见明显异常 ； 人工主动脉瓣跨瓣压差增大 ； 三尖瓣反流（轻度） ； 左室收缩功能测值正常；报告2019-02-01 09:27:46，其后10分钟审核。</x:v>
      </x:c>
      <x:c r="G11" s="4" t="str">
        <x:v>07_超声检查报告_2021-01-18.pdf 第7页</x:v>
      </x:c>
    </x:row>
    <x:row r="12" ht="54" customHeight="1">
      <x:c r="A12" s="19" t="n">
        <x:v>44035.349027777775</x:v>
      </x:c>
      <x:c r="B12" s="4" t="str">
        <x:v>超声 JC-0047</x:v>
      </x:c>
      <x:c r="C12" s="21" t="n">
        <x:v>5.7</x:v>
      </x:c>
      <x:c r="D12" s="20" t="n">
        <x:v>83</x:v>
      </x:c>
      <x:c r="E12" s="4"/>
      <x:c r="F12" s="4" t="str">
        <x:v>二尖瓣+主动脉瓣置换术后近13年 ； 人工主动脉瓣跨瓣压差较前进一步增大 ； 人工二尖瓣功能未见明显异常 ； 左室收缩功能测值正常；报告2020-07-23 08:57:36，其后10分钟审核。</x:v>
      </x:c>
      <x:c r="G12" s="4" t="str">
        <x:v>07_超声检查报告_2021-01-18.pdf 第8页</x:v>
      </x:c>
    </x:row>
    <x:row r="13" ht="24" customHeight="1">
      <x:c r="A13" s="19" t="n">
        <x:v>44037</x:v>
      </x:c>
      <x:c r="B13" s="4" t="str">
        <x:v>第一次出血/严重贫血</x:v>
      </x:c>
      <x:c r="C13" s="4"/>
      <x:c r="D13" s="4"/>
      <x:c r="E13" s="4" t="str">
        <x:v>54g/L（7-25 CBC）</x:v>
      </x:c>
      <x:c r="F13" s="4" t="str">
        <x:v>黑便，VKA/止血处理；入院转述最初INR4.26不与后续INR混作同一标本。</x:v>
      </x:c>
      <x:c r="G13" s="4" t="str">
        <x:v>01_入院记录_2020-07-26.pdf 第1页</x:v>
      </x:c>
    </x:row>
    <x:row r="14" ht="24" customHeight="1">
      <x:c r="A14" s="19" t="n">
        <x:v>44040.41940972222</x:v>
      </x:c>
      <x:c r="B14" s="4" t="str">
        <x:v>心外科会诊</x:v>
      </x:c>
      <x:c r="C14" s="4"/>
      <x:c r="D14" s="4"/>
      <x:c r="E14" s="4"/>
      <x:c r="F14" s="4" t="str">
        <x:v>有手术方向，活动性消化道出血为相对禁忌；暂定低INR策略。</x:v>
      </x:c>
      <x:c r="G14" s="4" t="str">
        <x:v>06_病程记录_2021-01-18.xlsx｜病程记录（BC-0019）</x:v>
      </x:c>
    </x:row>
    <x:row r="15" ht="24" customHeight="1">
      <x:c r="A15" s="19" t="n">
        <x:v>44048.442199074074</x:v>
      </x:c>
      <x:c r="B15" s="4" t="str">
        <x:v>胶囊检查转述</x:v>
      </x:c>
      <x:c r="C15" s="4"/>
      <x:c r="D15" s="4"/>
      <x:c r="E15" s="4"/>
      <x:c r="F15" s="4" t="str">
        <x:v>仅“小肠排空亢进？”；无法确证全小肠完整阴性。</x:v>
      </x:c>
      <x:c r="G15" s="4" t="str">
        <x:v>06_病程记录_2021-01-18.xlsx｜病程记录（BC-0029）</x:v>
      </x:c>
    </x:row>
    <x:row r="16" ht="39" customHeight="1">
      <x:c r="A16" s="19" t="n">
        <x:v>44049.70905092593</x:v>
      </x:c>
      <x:c r="B16" s="4" t="str">
        <x:v>CTA肺栓塞</x:v>
      </x:c>
      <x:c r="C16" s="4"/>
      <x:c r="D16" s="4"/>
      <x:c r="E16" s="4"/>
      <x:c r="F16" s="4" t="str">
        <x:v>检查2020-08-06 16:10，报告17:01:02、审核17:18；右上、中叶多支充盈缺损。8-13为门诊阅知，8-11病房未回记载另核。</x:v>
      </x:c>
      <x:c r="G16" s="4" t="str">
        <x:v>08_CT检查报告_2021-01-18.pdf 第1页</x:v>
      </x:c>
    </x:row>
    <x:row r="17" ht="24" customHeight="1">
      <x:c r="A17" s="19" t="n">
        <x:v>44054.416666666664</x:v>
      </x:c>
      <x:c r="B17" s="4" t="str">
        <x:v>出院 V06</x:v>
      </x:c>
      <x:c r="C17" s="4"/>
      <x:c r="D17" s="4"/>
      <x:c r="E17" s="4"/>
      <x:c r="F17" s="4" t="str">
        <x:v>暂改善，继续VKA/铁剂、随访、黑便急诊；保留报告未回记载。</x:v>
      </x:c>
      <x:c r="G17" s="4" t="str">
        <x:v>02_出院记录_2020-08-11.pdf 第1页</x:v>
      </x:c>
    </x:row>
    <x:row r="18" ht="24" customHeight="1">
      <x:c r="A18" s="19" t="n">
        <x:v>44073.576898148145</x:v>
      </x:c>
      <x:c r="B18" s="4" t="str">
        <x:v>再入院 V07</x:v>
      </x:c>
      <x:c r="C18" s="4"/>
      <x:c r="D18" s="4"/>
      <x:c r="E18" s="4" t="str">
        <x:v>53g/L（8-31）</x:v>
      </x:c>
      <x:c r="F18" s="4" t="str">
        <x:v>拟评估AVR；黑便、严重贫血后暂手术及抗凝；当期体重53kg。</x:v>
      </x:c>
      <x:c r="G18" s="4" t="str">
        <x:v>03_入院记录_2020-08-30.pdf 第1页；06_病程记录_2021-01-18.xlsx｜病程记录（BC-0039）</x:v>
      </x:c>
    </x:row>
    <x:row r="19" ht="54" customHeight="1">
      <x:c r="A19" s="19" t="n">
        <x:v>44074.60784722222</x:v>
      </x:c>
      <x:c r="B19" s="4" t="str">
        <x:v>超声 JC-0014</x:v>
      </x:c>
      <x:c r="C19" s="21" t="n">
        <x:v>5.9</x:v>
      </x:c>
      <x:c r="D19" s="20" t="n">
        <x:v>87</x:v>
      </x:c>
      <x:c r="E19" s="4"/>
      <x:c r="F19" s="4" t="str">
        <x:v>二尖瓣+主动脉瓣置换术后13年 ； 人工主动脉瓣跨瓣压差较前进一步增大 ； 人工二尖瓣功能未见明显异常 ； 双室收缩功能测值正常；报告2020-08-31 15:10:18，其后10分钟审核。</x:v>
      </x:c>
      <x:c r="G19" s="4" t="str">
        <x:v>07_超声检查报告_2021-01-18.pdf 第9页</x:v>
      </x:c>
    </x:row>
    <x:row r="20" ht="39" customHeight="1">
      <x:c r="A20" s="19" t="n">
        <x:v>44076.59</x:v>
      </x:c>
      <x:c r="B20" s="4" t="str">
        <x:v>贫血机制证据</x:v>
      </x:c>
      <x:c r="C20" s="4"/>
      <x:c r="D20" s="4"/>
      <x:c r="E20" s="4"/>
      <x:c r="F20" s="4" t="str">
        <x:v>铁蛋白12.3/sTfR3.45支持缺铁；按9月时点解释。</x:v>
      </x:c>
      <x:c r="G20" s="4" t="str">
        <x:v>10_检验报告单_2021-01-18.xlsx｜生化与贫血（JY-1663）；10_检验报告单_2021-01-18.xlsx｜生化与贫血（JY-1660）</x:v>
      </x:c>
    </x:row>
    <x:row r="21" ht="39" customHeight="1">
      <x:c r="A21" s="19" t="n">
        <x:v>44077.67545138889</x:v>
      </x:c>
      <x:c r="B21" s="4" t="str">
        <x:v>胃镜 JC-0020</x:v>
      </x:c>
      <x:c r="C21" s="4"/>
      <x:c r="D21" s="4"/>
      <x:c r="E21" s="4" t="str">
        <x:v>92g/L（9-3 CBC）</x:v>
      </x:c>
      <x:c r="F21" s="4" t="str">
        <x:v>胃镜16:12:39开始，16:50报告、17:00审核；胃炎/黄斑瘤，病源仍未定位。9-8文字为旧记录，不新增检查。</x:v>
      </x:c>
      <x:c r="G21" s="4" t="str">
        <x:v>09_内镜检查报告_2020-12-18.pdf 第5页；06_病程记录_2021-01-18.xlsx｜病程记录（BC-0048）</x:v>
      </x:c>
    </x:row>
    <x:row r="22" ht="39" customHeight="1">
      <x:c r="A22" s="19" t="n">
        <x:v>44080.405590277776</x:v>
      </x:c>
      <x:c r="B22" s="4" t="str">
        <x:v>重新用依诺</x:v>
      </x:c>
      <x:c r="C22" s="4"/>
      <x:c r="D22" s="4"/>
      <x:c r="E22" s="4" t="str">
        <x:v>99g/L（9-6）</x:v>
      </x:c>
      <x:c r="F22" s="4" t="str">
        <x:v>0.4mL q12h医嘱；INR0.95属VKA指标，不能据此判断LMWH。</x:v>
      </x:c>
      <x:c r="G22" s="4" t="str">
        <x:v>11_药品医嘱单_2021-01-18.xlsx｜长期医嘱（YZ-0214）；06_病程记录_2021-01-18.xlsx｜病程记录（BC-0047）</x:v>
      </x:c>
    </x:row>
    <x:row r="23" ht="54" customHeight="1">
      <x:c r="A23" s="19" t="n">
        <x:v>44084.3533912037</x:v>
      </x:c>
      <x:c r="B23" s="4" t="str">
        <x:v>超声 JC-0018</x:v>
      </x:c>
      <x:c r="C23" s="21" t="n">
        <x:v>5.1</x:v>
      </x:c>
      <x:c r="D23" s="20" t="n">
        <x:v>57</x:v>
      </x:c>
      <x:c r="E23" s="4"/>
      <x:c r="F23" s="4" t="str">
        <x:v>二尖瓣+主动脉瓣置换术后13年 ； 人工主动脉瓣跨瓣压差增大 ； 人工二尖瓣功能未见明显异常 ； 三尖瓣反流（轻-中度） 肺高压（轻度）； 左室收缩功能测值稍升高；报告2020-09-10 09:03:53，其后10分钟审核。</x:v>
      </x:c>
      <x:c r="G23" s="4" t="str">
        <x:v>07_超声检查报告_2021-01-18.pdf 第10页</x:v>
      </x:c>
    </x:row>
    <x:row r="24" ht="39" customHeight="1">
      <x:c r="A24" s="19" t="n">
        <x:v>44086.37841435185</x:v>
      </x:c>
      <x:c r="B24" s="4" t="str">
        <x:v>VKA剂量讨论</x:v>
      </x:c>
      <x:c r="C24" s="4"/>
      <x:c r="D24" s="4"/>
      <x:c r="E24" s="4" t="str">
        <x:v>94g/L（9-12）</x:v>
      </x:c>
      <x:c r="F24" s="4" t="str">
        <x:v>1片/1.5片交替；应与医嘱、出院药单核对。</x:v>
      </x:c>
      <x:c r="G24" s="4" t="str">
        <x:v>06_病程记录_2021-01-18.xlsx｜病程记录（BC-0059）；06_病程记录_2021-01-18.xlsx｜病程记录（BC-0061）</x:v>
      </x:c>
    </x:row>
    <x:row r="25" ht="39" customHeight="1">
      <x:c r="A25" s="19" t="n">
        <x:v>44089.416666666664</x:v>
      </x:c>
      <x:c r="B25" s="4" t="str">
        <x:v>出院 V07</x:v>
      </x:c>
      <x:c r="C25" s="4"/>
      <x:c r="D25" s="4"/>
      <x:c r="E25" s="4"/>
      <x:c r="F25" s="4" t="str">
        <x:v>择期手术延后；出院文字交替剂量与出院医嘱1片每晚有差异。</x:v>
      </x:c>
      <x:c r="G25" s="4" t="str">
        <x:v>04_出院记录_2020-09-15.pdf 第1页；11_药品医嘱单_2021-01-18.xlsx｜出院及门诊（YZ-0217）</x:v>
      </x:c>
    </x:row>
    <x:row r="26" ht="39" customHeight="1">
      <x:c r="A26" s="19" t="n">
        <x:v>44138.333333333336</x:v>
      </x:c>
      <x:c r="B26" s="4" t="str">
        <x:v>门诊决策</x:v>
      </x:c>
      <x:c r="C26" s="4"/>
      <x:c r="D26" s="4"/>
      <x:c r="E26" s="4"/>
      <x:c r="F26" s="4" t="str">
        <x:v>08:00门诊已有手术指征且风险较大，家属暂要求保守；同日09:03:02粪隐血阳性为门诊之后记录，不作为08:00已知结果。</x:v>
      </x:c>
      <x:c r="G26" s="4" t="str">
        <x:v>12_门诊病历_2020-11-18.xlsx｜门诊病历（MZ-0007）；10_检验报告单_2021-01-18.xlsx｜常规检验（JY-7127）</x:v>
      </x:c>
    </x:row>
    <x:row r="27" ht="54" customHeight="1">
      <x:c r="A27" s="19" t="n">
        <x:v>44174.36143518519</x:v>
      </x:c>
      <x:c r="B27" s="4" t="str">
        <x:v>超声 JC-0048</x:v>
      </x:c>
      <x:c r="C27" s="21" t="n">
        <x:v>4.9</x:v>
      </x:c>
      <x:c r="D27" s="20" t="n">
        <x:v>59</x:v>
      </x:c>
      <x:c r="E27" s="4"/>
      <x:c r="F27" s="4" t="str">
        <x:v>二尖瓣+主动脉瓣置换术后13年 ； 人工主动脉瓣跨瓣压差增大 ； 人工二尖瓣功能未见明显异常 ； 三尖瓣反流（轻度） ； 左室收缩功能测值正常；报告2020-12-09 09:15:28，其后10分钟审核。</x:v>
      </x:c>
      <x:c r="G27" s="4" t="str">
        <x:v>07_超声检查报告_2021-01-18.pdf 第11页</x:v>
      </x:c>
    </x:row>
    <x:row r="28" ht="39" customHeight="1">
      <x:c r="A28" s="19" t="n">
        <x:v>44181.381944444445</x:v>
      </x:c>
      <x:c r="B28" s="4" t="str">
        <x:v>完整小肠胶囊</x:v>
      </x:c>
      <x:c r="C28" s="4"/>
      <x:c r="D28" s="4"/>
      <x:c r="E28" s="4"/>
      <x:c r="F28" s="4" t="str">
        <x:v>12月16日09:10开始，17:52到盲肠；12月17日07:40完整排出。报告12月17日09:00、审核09:15；两处空肠血管扩张，未见活动出血。</x:v>
      </x:c>
      <x:c r="G28" s="4" t="str">
        <x:v>09_内镜检查报告_2020-12-18.pdf第6页</x:v>
      </x:c>
    </x:row>
    <x:row r="29" ht="39" customHeight="1">
      <x:c r="A29" s="19" t="n">
        <x:v>44182.385416666664</x:v>
      </x:c>
      <x:c r="B29" s="4" t="str">
        <x:v>双向内镜</x:v>
      </x:c>
      <x:c r="C29" s="4"/>
      <x:c r="D29" s="4"/>
      <x:c r="E29" s="4"/>
      <x:c r="F29" s="4" t="str">
        <x:v>胃镜09:15开始、报告10:30、审核10:40；结肠镜09:40开始、报告10:45、审核10:55。检查完整、BBPS8，未见其他出血病灶。</x:v>
      </x:c>
      <x:c r="G29" s="4" t="str">
        <x:v>09_内镜检查报告_2020-12-18.pdf第7–8页</x:v>
      </x:c>
    </x:row>
    <x:row r="30" ht="39" customHeight="1">
      <x:c r="A30" s="19" t="n">
        <x:v>44183.430555555555</x:v>
      </x:c>
      <x:c r="B30" s="4" t="str">
        <x:v>小肠镜治疗</x:v>
      </x:c>
      <x:c r="C30" s="4"/>
      <x:c r="D30" s="4"/>
      <x:c r="E30" s="4"/>
      <x:c r="F30" s="4" t="str">
        <x:v>小肠镜10:20开始，APC治疗两灶；观察至12:00无即时出血或穿孔；报告12:10、审核12:25。</x:v>
      </x:c>
      <x:c r="G30" s="4" t="str">
        <x:v>09_内镜检查报告_2020-12-18.pdf第9页</x:v>
      </x:c>
    </x:row>
    <x:row r="31" ht="39" customHeight="1">
      <x:c r="A31" s="19" t="n">
        <x:v>44211.4375</x:v>
      </x:c>
      <x:c r="B31" s="4" t="str">
        <x:v>CTPA复评</x:v>
      </x:c>
      <x:c r="C31" s="4"/>
      <x:c r="D31" s="4"/>
      <x:c r="E31" s="4"/>
      <x:c r="F31" s="4" t="str">
        <x:v>检查10:30；报告11:30、审核11:45。针对持续活动后气紧安排；未见肺动脉充盈缺损。</x:v>
      </x:c>
      <x:c r="G31" s="4" t="str">
        <x:v>08_CT检查报告_2021-01-18.pdf第4页</x:v>
      </x:c>
    </x:row>
    <x:row r="32" ht="39" customHeight="1">
      <x:c r="A32" s="19" t="n">
        <x:v>44212.61362268519</x:v>
      </x:c>
      <x:c r="B32" s="4" t="str">
        <x:v>本次入院 V08</x:v>
      </x:c>
      <x:c r="C32" s="4"/>
      <x:c r="D32" s="4"/>
      <x:c r="E32" s="4"/>
      <x:c r="F32" s="4" t="str">
        <x:v>74岁，55 kg；本次拟AVR。病史末尾大便带血与现时性记录经1月18日询问和近期检验复核。</x:v>
      </x:c>
      <x:c r="G32" s="4" t="str">
        <x:v>05_入院记录_2021-01-16.pdf 第1页</x:v>
      </x:c>
    </x:row>
    <x:row r="33" ht="39" customHeight="1">
      <x:c r="A33" s="19" t="n">
        <x:v>44212.8020833333</x:v>
      </x:c>
      <x:c r="B33" s="4" t="str">
        <x:v>普通CT</x:v>
      </x:c>
      <x:c r="C33" s="4"/>
      <x:c r="D33" s="4"/>
      <x:c r="E33" s="4"/>
      <x:c r="F33" s="4" t="str">
        <x:v>头部CT19:15开始、20:05报告、20:15审核；胸部CT19:35开始、20:15报告、20:30审核。普通胸部CT不用于证实PE消退。</x:v>
      </x:c>
      <x:c r="G33" s="4" t="str">
        <x:v>08_CT检查报告_2021-01-18.pdf 第2页；第3页</x:v>
      </x:c>
    </x:row>
    <x:row r="34" ht="54" customHeight="1">
      <x:c r="A34" s="19" t="n">
        <x:v>44213.41710648148</x:v>
      </x:c>
      <x:c r="B34" s="4" t="str">
        <x:v>当前CBC/生化</x:v>
      </x:c>
      <x:c r="C34" s="4"/>
      <x:c r="D34" s="4"/>
      <x:c r="E34" s="4" t="str">
        <x:v>109g/L（CBC）</x:v>
      </x:c>
      <x:c r="F34" s="4" t="str">
        <x:v>血小板160；Cr64µmol/L（10:22）。INR1.24（09:27）；低于机械MVR长期治疗范围。</x:v>
      </x:c>
      <x:c r="G34" s="4" t="str">
        <x:v>10_检验报告单_2021-01-18.xlsx｜血细胞（JY-1964）；10_检验报告单_2021-01-18.xlsx｜血细胞（JY-1969）；10_检验报告单_2021-01-18.xlsx｜生化与贫血（JY-2028）；10_检验报告单_2021-01-18.xlsx｜凝血（JY-1954）</x:v>
      </x:c>
    </x:row>
    <x:row r="35" ht="39" customHeight="1">
      <x:c r="A35" s="19" t="n">
        <x:v>44213.66883101852</x:v>
      </x:c>
      <x:c r="B35" s="4" t="str">
        <x:v>粪便隐血</x:v>
      </x:c>
      <x:c r="C35" s="4"/>
      <x:c r="D35" s="4"/>
      <x:c r="E35" s="4"/>
      <x:c r="F35" s="4" t="str">
        <x:v>阴性；随访窗口共11次独立检验，5次阳性/弱阳性均早于12月18日治疗；当前状态结合便色及同方法Hb判断。</x:v>
      </x:c>
      <x:c r="G35" s="4" t="str">
        <x:v>10_检验报告单_2021-01-18.xlsx｜常规检验（JY-2089）</x:v>
      </x:c>
    </x:row>
    <x:row r="36" ht="24" customHeight="1">
      <x:c r="A36" s="19" t="n">
        <x:v>44213.6846875</x:v>
      </x:c>
      <x:c r="B36" s="4" t="str">
        <x:v>血气ctHb</x:v>
      </x:c>
      <x:c r="C36" s="4"/>
      <x:c r="D36" s="4"/>
      <x:c r="E36" s="4" t="str">
        <x:v>101.7g/L（血气）</x:v>
      </x:c>
      <x:c r="F36" s="4" t="str">
        <x:v>不同方法/时间，不仅凭与CBC109相减认定急性失血。</x:v>
      </x:c>
      <x:c r="G36" s="4" t="str">
        <x:v>10_检验报告单_2021-01-18.xlsx｜血细胞（JY-2104）</x:v>
      </x:c>
    </x:row>
    <x:row r="37" ht="39" customHeight="1">
      <x:c r="A37" s="19" t="n">
        <x:v>44214.291666666664</x:v>
      </x:c>
      <x:c r="B37" s="4" t="str">
        <x:v>依诺停止医嘱</x:v>
      </x:c>
      <x:c r="C37" s="4"/>
      <x:c r="D37" s="4"/>
      <x:c r="E37" s="4"/>
      <x:c r="F37" s="4" t="str">
        <x:v>停止医嘱07:00，实际末针为前日20:00；对最新09:30排台分别26.5h及37.5h。</x:v>
      </x:c>
      <x:c r="G37" s="4" t="str">
        <x:v>11_药品医嘱单_2021-01-18.xlsx｜长期医嘱、围术期给药与药历（YZ-0295、GY-0004）</x:v>
      </x:c>
    </x:row>
    <x:row r="38" ht="24" customHeight="1">
      <x:c r="A38" s="19" t="n">
        <x:v>44214.355891203704</x:v>
      </x:c>
      <x:c r="B38" s="4" t="str">
        <x:v>床旁查房</x:v>
      </x:c>
      <x:c r="C38" s="4"/>
      <x:c r="D38" s="4"/>
      <x:c r="E38" s="4"/>
      <x:c r="F38" s="4" t="str">
        <x:v>T36.3℃、P84、R20、BP132/66mmHg、空气下SpO₂97%，休息无明显不适。</x:v>
      </x:c>
      <x:c r="G38" s="4" t="str">
        <x:v>06_病程记录_2021-01-18.xlsx｜病程记录（BC-0065）</x:v>
      </x:c>
    </x:row>
    <x:row r="39" ht="39" customHeight="1">
      <x:c r="A39" s="19" t="n">
        <x:v>44214.416666666664</x:v>
      </x:c>
      <x:c r="B39" s="4" t="str">
        <x:v>当下TTE、TEE</x:v>
      </x:c>
      <x:c r="C39" s="21" t="n">
        <x:v>4.8</x:v>
      </x:c>
      <x:c r="D39" s="20" t="n">
        <x:v>58</x:v>
      </x:c>
      <x:c r="E39" s="4" t="str">
        <x:v>Jan17 CBC109g/L</x:v>
      </x:c>
      <x:c r="F39" s="4" t="str">
        <x:v>TTE10:00开始、10:40报告、10:50审核；TEE11:05开始、11:55报告、12:10审核。DVI0.22、AT124ms、EOA0.78；固定组织限制瓣叶，SV65mL。</x:v>
      </x:c>
      <x:c r="G39" s="4" t="str">
        <x:v>07_超声检查报告_2021-01-18.pdf第12–13页</x:v>
      </x:c>
    </x:row>
    <x:row r="40" ht="39" customHeight="1">
      <x:c r="A40" s="19" t="str">
        <x:v>2021-01-18 13:30:00</x:v>
      </x:c>
      <x:c r="B40" s="4" t="str">
        <x:v>同方法CBC、凝血采样及回报</x:v>
      </x:c>
      <x:c r="C40" s="4"/>
      <x:c r="D40" s="4"/>
      <x:c r="E40" s="4" t="str">
        <x:v>CBC110g/L</x:v>
      </x:c>
      <x:c r="F40" s="4" t="str">
        <x:v>采样13:30，分析15:20；CBC报告15:35、凝血15:50，均于5分钟后审核。PLT166，INR1.19，APTT28.2s，同方法Hb稳定。</x:v>
      </x:c>
      <x:c r="G40" s="4" t="str">
        <x:v>10_检验报告单_2021-01-18.xlsx｜血细胞、凝血（JY-90001–90004）</x:v>
      </x:c>
    </x:row>
    <x:row r="41" ht="54" customHeight="1">
      <x:c r="A41" s="19" t="str">
        <x:v>2021-01-18 13:30:00</x:v>
      </x:c>
      <x:c r="B41" s="4" t="str">
        <x:v>铁代谢及溶血检查采样及回报</x:v>
      </x:c>
      <x:c r="C41" s="4"/>
      <x:c r="D41" s="4"/>
      <x:c r="E41" s="4" t="str">
        <x:v>CBC110g/L</x:v>
      </x:c>
      <x:c r="F41" s="4" t="str">
        <x:v>采样13:30，分析15:20；生化及铁蛋白15:55、结合珠蛋白16:40、sTfR17:05报告，均于5分钟后审核。铁蛋白22.4、sTfR2.71；18:00讨论时可知，不支持显著机械瓣溶血为主因。</x:v>
      </x:c>
      <x:c r="G41" s="4" t="str">
        <x:v>10_检验报告单_2021-01-18.xlsx｜血细胞、生化与贫血（JY-90001、JY-90005至90012）</x:v>
      </x:c>
    </x:row>
    <x:row r="42" ht="39" customHeight="1">
      <x:c r="A42" s="19" t="str">
        <x:v>2021-01-18 14:10:00</x:v>
      </x:c>
      <x:c r="B42" s="4" t="str">
        <x:v>门控心脏CT</x:v>
      </x:c>
      <x:c r="C42" s="4"/>
      <x:c r="D42" s="4"/>
      <x:c r="E42" s="4"/>
      <x:c r="F42" s="4" t="str">
        <x:v>检查14:10，报告15:05、审核15:20；瓣下半环形高密度组织185HU，支持血管翳，无血栓影像。</x:v>
      </x:c>
      <x:c r="G42" s="4" t="str">
        <x:v>08_CT检查报告_2021-01-18.pdf第5页</x:v>
      </x:c>
    </x:row>
    <x:row r="43" ht="39" customHeight="1">
      <x:c r="A43" s="19" t="n">
        <x:v>44214.72222222222</x:v>
      </x:c>
      <x:c r="B43" s="4" t="str">
        <x:v>两份会前抗凝拟案</x:v>
      </x:c>
      <x:c r="C43" s="4"/>
      <x:c r="D43" s="4"/>
      <x:c r="E43" s="4"/>
      <x:c r="F43" s="4" t="str">
        <x:v>FA-01拟20:00用依诺1mg/kg；FA-02拟20:00起UFH12U/kg/h、08:30停泵。两案均未执行，原按14:30排台形成。</x:v>
      </x:c>
      <x:c r="G43" s="4" t="str">
        <x:v>11_药品医嘱单_2021-01-18.xlsx｜围术期会前拟案（FA-01、FA-02）</x:v>
      </x:c>
    </x:row>
    <x:row r="44" ht="39" customHeight="1">
      <x:c r="A44" s="19" t="n">
        <x:v>44214.743055555555</x:v>
      </x:c>
      <x:c r="B44" s="4" t="str">
        <x:v>麻醉排台通知</x:v>
      </x:c>
      <x:c r="C44" s="4"/>
      <x:c r="D44" s="4"/>
      <x:c r="E44" s="4"/>
      <x:c r="F44" s="4" t="str">
        <x:v>次日切皮调整为09:30，原14:30取消；18:30备用。须同步修订抗凝停止安排。</x:v>
      </x:c>
      <x:c r="G44" s="4" t="str">
        <x:v>06_病程记录_2021-01-18.xlsx｜病程记录（BC-9004）</x:v>
      </x:c>
    </x:row>
    <x:row r="45" ht="39" customHeight="1">
      <x:c r="A45" s="19" t="n">
        <x:v>44214.748611111114</x:v>
      </x:c>
      <x:c r="B45" s="4" t="str">
        <x:v>冠脉造影后</x:v>
      </x:c>
      <x:c r="C45" s="4"/>
      <x:c r="D45" s="4"/>
      <x:c r="E45" s="4"/>
      <x:c r="F45" s="4" t="str">
        <x:v>17:15实用UFH5000U；LAD30%、RCA20%，未行PCI。17:22 ACT226s、17:55 ACT146s；右桡动脉止血及右手灌注良好。</x:v>
      </x:c>
      <x:c r="G45" s="4" t="str">
        <x:v>06_病程记录_2021-01-18.xlsx｜病程记录（BC-0066）；11_药品医嘱单_2021-01-18.xlsx｜临时医嘱（YZ-0310）</x:v>
      </x:c>
    </x:row>
    <x:row r="46" ht="24" customHeight="1">
      <x:c r="A46" s="19" t="n">
        <x:v>44215.395833333336</x:v>
      </x:c>
      <x:c r="B46" s="4" t="str">
        <x:v>拟再次AVR（计划）</x:v>
      </x:c>
      <x:c r="C46" s="4"/>
      <x:c r="D46" s="4"/>
      <x:c r="E46" s="4"/>
      <x:c r="F46" s="4" t="str">
        <x:v>只处理AVR并保留机械MVR；生物AVR为备选，不能取消MVR抗凝。</x:v>
      </x:c>
      <x:c r="G46" s="4" t="str">
        <x:v>06_病程记录_2021-01-18.xlsx｜病程记录（BC-9004）；术前讨论条件（尚未发生）</x:v>
      </x:c>
    </x:row>
    <x:row r="47" ht="24" customHeight="1">
      <x:c r="A47" s="19" t="n">
        <x:v>44215.770833333336</x:v>
      </x:c>
      <x:c r="B47" s="4" t="str">
        <x:v>备用再次AVR时段</x:v>
      </x:c>
      <x:c r="C47" s="4"/>
      <x:c r="D47" s="4"/>
      <x:c r="E47" s="4"/>
      <x:c r="F47" s="4" t="str">
        <x:v>备用计划，尚未采用；若启动须同步调整桥接覆盖与停止时点。</x:v>
      </x:c>
      <x:c r="G47" s="4" t="str">
        <x:v>06_病程记录_2021-01-18.xlsx｜病程记录（BC-9004）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47" hidden="0" customWidth="1"/>
    <x:col min="5" max="5" width="80" hidden="0" customWidth="1"/>
  </x:cols>
  <x:sheetData>
    <x:row r="1" ht="24" customHeight="1">
      <x:c r="A1" s="4" t="str">
        <x:v>量化核算</x:v>
      </x:c>
      <x:c r="B1" s="4"/>
      <x:c r="C1" s="4"/>
      <x:c r="D1" s="4"/>
      <x:c r="E1" s="4"/>
    </x:row>
    <x:row r="2" ht="24" customHeight="1">
      <x:c r="A2" s="4" t="str">
        <x:v>CV-01｜取数时间截至2021-01-18 18:00；假设肌酐稳定，使用本次入院体重。</x:v>
      </x:c>
      <x:c r="B2" s="4"/>
      <x:c r="C2" s="4"/>
      <x:c r="D2" s="4"/>
      <x:c r="E2" s="4"/>
    </x:row>
    <x:row r="3" ht="24" customHeight="1">
      <x:c r="A3" s="4"/>
      <x:c r="B3" s="4"/>
      <x:c r="C3" s="4"/>
      <x:c r="D3" s="4"/>
      <x:c r="E3" s="4"/>
    </x:row>
    <x:row r="4" ht="40" customHeight="1">
      <x:c r="A4" s="6" t="str">
        <x:v>项目</x:v>
      </x:c>
      <x:c r="B4" s="6" t="str">
        <x:v>取值/结果</x:v>
      </x:c>
      <x:c r="C4" s="6" t="str">
        <x:v>单位</x:v>
      </x:c>
      <x:c r="D4" s="6" t="str">
        <x:v>变量或公式依据</x:v>
      </x:c>
      <x:c r="E4" s="6" t="str">
        <x:v>取数定位与适用限制</x:v>
      </x:c>
    </x:row>
    <x:row r="5" ht="24" customHeight="1">
      <x:c r="A5" s="4" t="str">
        <x:v>性别</x:v>
      </x:c>
      <x:c r="B5" s="21" t="str">
        <x:v>女</x:v>
      </x:c>
      <x:c r="C5" s="4"/>
      <x:c r="D5" s="4" t="str">
        <x:v>Cockcroft–Gault女性校正</x:v>
      </x:c>
      <x:c r="E5" s="4" t="str">
        <x:v>05_入院记录_2021-01-16.pdf 第1页</x:v>
      </x:c>
    </x:row>
    <x:row r="6" ht="24" customHeight="1">
      <x:c r="A6" s="4" t="str">
        <x:v>年龄</x:v>
      </x:c>
      <x:c r="B6" s="20" t="n">
        <x:v>74</x:v>
      </x:c>
      <x:c r="C6" s="4" t="str">
        <x:v>岁</x:v>
      </x:c>
      <x:c r="D6" s="4" t="str">
        <x:v>本次入院年龄</x:v>
      </x:c>
      <x:c r="E6" s="4" t="str">
        <x:v>05_入院记录_2021-01-16.pdf 第1页</x:v>
      </x:c>
    </x:row>
    <x:row r="7" ht="24" customHeight="1">
      <x:c r="A7" s="4" t="str">
        <x:v>体重</x:v>
      </x:c>
      <x:c r="B7" s="20" t="n">
        <x:v>55</x:v>
      </x:c>
      <x:c r="C7" s="4" t="str">
        <x:v>kg</x:v>
      </x:c>
      <x:c r="D7" s="4" t="str">
        <x:v>本次入院实测；非9月53kg</x:v>
      </x:c>
      <x:c r="E7" s="4" t="str">
        <x:v>05_入院记录_2021-01-16.pdf 第1页</x:v>
      </x:c>
    </x:row>
    <x:row r="8" ht="24" customHeight="1">
      <x:c r="A8" s="4" t="str">
        <x:v>血清肌酐</x:v>
      </x:c>
      <x:c r="B8" s="20" t="n">
        <x:v>64</x:v>
      </x:c>
      <x:c r="C8" s="4" t="str">
        <x:v>µmol/L</x:v>
      </x:c>
      <x:c r="D8" s="4" t="str">
        <x:v>2021-01-17 10:22；先确认稳定</x:v>
      </x:c>
      <x:c r="E8" s="4" t="str">
        <x:v>10_检验报告单_2021-01-18.xlsx｜生化与贫血（JY-2028）</x:v>
      </x:c>
    </x:row>
    <x:row r="9" ht="24" customHeight="1">
      <x:c r="A9" s="4" t="str">
        <x:v>肌酐换算常数</x:v>
      </x:c>
      <x:c r="B9" s="21" t="n">
        <x:v>88.4</x:v>
      </x:c>
      <x:c r="C9" s="4" t="str">
        <x:v>µmol/L per mg/dL</x:v>
      </x:c>
      <x:c r="D9" s="4" t="str">
        <x:v>单位换算</x:v>
      </x:c>
      <x:c r="E9" s="4" t="str">
        <x:v>question.md明确的Cockcroft–Gault单位换算</x:v>
      </x:c>
    </x:row>
    <x:row r="10" ht="24" customHeight="1">
      <x:c r="A10" s="4" t="str">
        <x:v>血清肌酐换算</x:v>
      </x:c>
      <x:c r="B10" s="46" t="n">
        <x:f>B8/B9</x:f>
        <x:v>0.7239819004524887</x:v>
      </x:c>
      <x:c r="C10" s="4" t="str">
        <x:v>mg/dL</x:v>
      </x:c>
      <x:c r="D10" s="4" t="str">
        <x:v>Cr（µmol/L）÷88.4</x:v>
      </x:c>
      <x:c r="E10" s="4" t="str">
        <x:v>公式：B8/B9；保留中间精度</x:v>
      </x:c>
    </x:row>
    <x:row r="11" ht="24" customHeight="1">
      <x:c r="A11" s="4" t="str">
        <x:v>女性校正系数</x:v>
      </x:c>
      <x:c r="B11" s="21" t="n">
        <x:v>0.85</x:v>
      </x:c>
      <x:c r="C11" s="4" t="str">
        <x:v>倍</x:v>
      </x:c>
      <x:c r="D11" s="4" t="str">
        <x:v>CG1976公式</x:v>
      </x:c>
      <x:c r="E11" s="4" t="str">
        <x:v>question.md明确的Cockcroft–Gault女性校正</x:v>
      </x:c>
    </x:row>
    <x:row r="12" ht="24" customHeight="1">
      <x:c r="A12" s="4" t="str">
        <x:v>Cockcroft–Gault CrCl</x:v>
      </x:c>
      <x:c r="B12" s="47" t="n">
        <x:f>(140-B6)*B7/(72*B10)*B11</x:f>
        <x:v>59.19231770833333</x:v>
      </x:c>
      <x:c r="C12" s="4" t="str">
        <x:v>mL/min</x:v>
      </x:c>
      <x:c r="D12" s="4" t="str">
        <x:v>(140−年龄)×体重÷(72×Scr mg/dL)×女性系数</x:v>
      </x:c>
      <x:c r="E12" s="4" t="str">
        <x:v>采用当次55kg，肌酐稳定假设；无体表面积标准化；不能称CKD-EPI eGFR</x:v>
      </x:c>
    </x:row>
    <x:row r="13" ht="24" customHeight="1">
      <x:c r="A13" s="4" t="str">
        <x:v>严重肾损伤条款界值</x:v>
      </x:c>
      <x:c r="B13" s="20" t="n">
        <x:v>30</x:v>
      </x:c>
      <x:c r="C13" s="4" t="str">
        <x:v>mL/min</x:v>
      </x:c>
      <x:c r="D13" s="4" t="str">
        <x:v>FDA2018：CrCl&lt;30的相应VTE治疗减量条款</x:v>
      </x:c>
      <x:c r="E13" s="4" t="str">
        <x:v>计算约59.19不符合该条件，但不等于无需出血/肾功能监测</x:v>
      </x:c>
    </x:row>
    <x:row r="14" ht="39" customHeight="1">
      <x:c r="A14" s="4" t="str">
        <x:v>依诺制剂浓度</x:v>
      </x:c>
      <x:c r="B14" s="20" t="n">
        <x:v>100</x:v>
      </x:c>
      <x:c r="C14" s="4" t="str">
        <x:v>mg/mL</x:v>
      </x:c>
      <x:c r="D14" s="4" t="str">
        <x:v>40mg/0.4mL预充针</x:v>
      </x:c>
      <x:c r="E14" s="4" t="str">
        <x:v>15_依诺肝素说明书_2018.pdf §2.2–2.6、§3、§5.1、§5.5、§8.6–8.7（剂量、监测及适用人群）；11_药品医嘱单_2021-01-18.xlsx｜长期医嘱（YZ-0295）</x:v>
      </x:c>
    </x:row>
    <x:row r="15" ht="24" customHeight="1">
      <x:c r="A15" s="4" t="str">
        <x:v>单次医嘱体积</x:v>
      </x:c>
      <x:c r="B15" s="21" t="n">
        <x:v>0.4</x:v>
      </x:c>
      <x:c r="C15" s="4" t="str">
        <x:v>mL/次</x:v>
      </x:c>
      <x:c r="D15" s="4" t="str">
        <x:v>YZ-0295，q12h</x:v>
      </x:c>
      <x:c r="E15" s="4" t="str">
        <x:v>11_药品医嘱单_2021-01-18.xlsx｜长期医嘱（YZ-0295）</x:v>
      </x:c>
    </x:row>
    <x:row r="16" ht="24" customHeight="1">
      <x:c r="A16" s="4" t="str">
        <x:v>单次医嘱质量</x:v>
      </x:c>
      <x:c r="B16" s="21" t="n">
        <x:f>B15*B14</x:f>
        <x:v>40</x:v>
      </x:c>
      <x:c r="C16" s="4" t="str">
        <x:v>mg/次</x:v>
      </x:c>
      <x:c r="D16" s="4" t="str">
        <x:v>体积×浓度</x:v>
      </x:c>
      <x:c r="E16" s="4" t="str">
        <x:v>B15×B14；医嘱强度不等于实际执行</x:v>
      </x:c>
    </x:row>
    <x:row r="17" ht="24" customHeight="1">
      <x:c r="A17" s="4" t="str">
        <x:v>按体重单次质量</x:v>
      </x:c>
      <x:c r="B17" s="48" t="n">
        <x:f>B16/B7</x:f>
        <x:v>0.7272727272727273</x:v>
      </x:c>
      <x:c r="C17" s="4" t="str">
        <x:v>mg/kg/次</x:v>
      </x:c>
      <x:c r="D17" s="4" t="str">
        <x:v>单次mg÷本次kg</x:v>
      </x:c>
      <x:c r="E17" s="4" t="str">
        <x:v>每次质量按本次体重换算；与VTE及STEMI适应证参照分别比较</x:v>
      </x:c>
    </x:row>
    <x:row r="18" ht="24" customHeight="1">
      <x:c r="A18" s="4" t="str">
        <x:v>q12h每日次数</x:v>
      </x:c>
      <x:c r="B18" s="20" t="n">
        <x:v>2</x:v>
      </x:c>
      <x:c r="C18" s="4" t="str">
        <x:v>次/日</x:v>
      </x:c>
      <x:c r="D18" s="4" t="str">
        <x:v>每12h一次的医嘱折算</x:v>
      </x:c>
      <x:c r="E18" s="4" t="str">
        <x:v>医嘱剂量与实际3次给药分开；无补针或漏记</x:v>
      </x:c>
    </x:row>
    <x:row r="19" ht="24" customHeight="1">
      <x:c r="A19" s="4" t="str">
        <x:v>每日医嘱质量</x:v>
      </x:c>
      <x:c r="B19" s="21" t="n">
        <x:f>B16*B18</x:f>
        <x:v>80</x:v>
      </x:c>
      <x:c r="C19" s="4" t="str">
        <x:v>mg/日</x:v>
      </x:c>
      <x:c r="D19" s="4" t="str">
        <x:v>单次质量×每日次数</x:v>
      </x:c>
      <x:c r="E19" s="4" t="str">
        <x:v>40×2=80；机械瓣桥接适当性需单独判断</x:v>
      </x:c>
    </x:row>
    <x:row r="20" ht="24" customHeight="1">
      <x:c r="A20" s="4" t="str">
        <x:v>低分子肝素停嘱</x:v>
      </x:c>
      <x:c r="B20" s="49" t="n">
        <x:v>44214.291666666664</x:v>
      </x:c>
      <x:c r="C20" s="4" t="str">
        <x:v>日期时间</x:v>
      </x:c>
      <x:c r="D20" s="4" t="str">
        <x:v>医嘱停止，不是末针执行</x:v>
      </x:c>
      <x:c r="E20" s="4" t="str">
        <x:v>11_药品医嘱单_2021-01-18.xlsx｜长期医嘱（YZ-0295）</x:v>
      </x:c>
    </x:row>
    <x:row r="21" ht="24" customHeight="1">
      <x:c r="A21" s="4" t="str">
        <x:v>计划开刀</x:v>
      </x:c>
      <x:c r="B21" s="49" t="n">
        <x:v>44215.395833333336</x:v>
      </x:c>
      <x:c r="C21" s="4" t="str">
        <x:v>日期时间</x:v>
      </x:c>
      <x:c r="D21" s="4" t="str">
        <x:v>06_病程记录_2021-01-18.xlsx，BC-9004最新版排台</x:v>
      </x:c>
      <x:c r="E21" s="4" t="str">
        <x:v>1月18日17:50排定，尚未实施</x:v>
      </x:c>
    </x:row>
    <x:row r="22" ht="24" customHeight="1">
      <x:c r="A22" s="4" t="str">
        <x:v>停嘱至计划开刀</x:v>
      </x:c>
      <x:c r="B22" s="50" t="n">
        <x:f>(B21-B20)*24</x:f>
        <x:v>26.500000000116415</x:v>
      </x:c>
      <x:c r="C22" s="4" t="str">
        <x:v>h</x:v>
      </x:c>
      <x:c r="D22" s="4" t="str">
        <x:v>(开刀−停嘱)×24</x:v>
      </x:c>
      <x:c r="E22" s="4" t="str">
        <x:v>最新09:30排台为26.5h；停止医嘱不同于末针</x:v>
      </x:c>
    </x:row>
    <x:row r="23" ht="24" customHeight="1">
      <x:c r="A23" s="4" t="str">
        <x:v>简化Bernoulli系数</x:v>
      </x:c>
      <x:c r="B23" s="20" t="n">
        <x:v>4</x:v>
      </x:c>
      <x:c r="C23" s="4"/>
      <x:c r="D23" s="4" t="str">
        <x:v>瞬时ΔP=4V²，忽略近端速度假设</x:v>
      </x:c>
      <x:c r="E23" s="4" t="str">
        <x:v>13_人工瓣超声评估_2009.pdf PDF物理第5页（Bernoulli公式）</x:v>
      </x:c>
    </x:row>
    <x:row r="24" ht="24" customHeight="1">
      <x:c r="A24" s="4" t="str">
        <x:v>2020-12-09 Vmax</x:v>
      </x:c>
      <x:c r="B24" s="50" t="n">
        <x:f>'事件时间轴'!C27</x:f>
        <x:v>4.9</x:v>
      </x:c>
      <x:c r="C24" s="4" t="str">
        <x:v>m/s</x:v>
      </x:c>
      <x:c r="D24" s="4" t="str">
        <x:v>取事件时间轴的超声JC-0048</x:v>
      </x:c>
      <x:c r="E24" s="4" t="str">
        <x:v>07_超声检查报告_2021-01-18.pdf 第11页</x:v>
      </x:c>
    </x:row>
    <x:row r="25" ht="24" customHeight="1">
      <x:c r="A25" s="4" t="str">
        <x:v>复算峰值压差</x:v>
      </x:c>
      <x:c r="B25" s="47" t="n">
        <x:f>B23*B24^2</x:f>
        <x:v>96.04000000000002</x:v>
      </x:c>
      <x:c r="C25" s="4" t="str">
        <x:v>mmHg</x:v>
      </x:c>
      <x:c r="D25" s="4" t="str">
        <x:v>4×Vmax²；不是平均压差</x:v>
      </x:c>
      <x:c r="E25" s="4" t="str">
        <x:v>LVOT峰值0.9m/s；历史峰值按忽略近端流速的简化公式作内部数量级复核</x:v>
      </x:c>
    </x:row>
    <x:row r="26" ht="24" customHeight="1">
      <x:c r="A26" s="4" t="str">
        <x:v>报告PGmax</x:v>
      </x:c>
      <x:c r="B26" s="47" t="n">
        <x:v>98</x:v>
      </x:c>
      <x:c r="C26" s="4" t="str">
        <x:v>mmHg</x:v>
      </x:c>
      <x:c r="D26" s="4" t="str">
        <x:v>2020-12-09原报告峰值</x:v>
      </x:c>
      <x:c r="E26" s="4" t="str">
        <x:v>07_超声检查报告_2021-01-18.pdf 第11页</x:v>
      </x:c>
    </x:row>
    <x:row r="27" ht="24" customHeight="1">
      <x:c r="A27" s="4" t="str">
        <x:v>复算−报告峰值</x:v>
      </x:c>
      <x:c r="B27" s="47" t="n">
        <x:f>B25-B26</x:f>
        <x:v>-1.9599999999999795</x:v>
      </x:c>
      <x:c r="C27" s="4" t="str">
        <x:v>mmHg</x:v>
      </x:c>
      <x:c r="D27" s="4" t="str">
        <x:v>复算值−98</x:v>
      </x:c>
      <x:c r="E27" s="4" t="str">
        <x:v>考虑显示流速舍入及取样差异；该数量级复核不能单独确认报告错误</x:v>
      </x:c>
    </x:row>
    <x:row r="28" ht="24" customHeight="1">
      <x:c r="A28" s="4" t="str">
        <x:v>相对报告峰值差</x:v>
      </x:c>
      <x:c r="B28" s="51" t="n">
        <x:f>B27/B26</x:f>
        <x:v>-0.019999999999999792</x:v>
      </x:c>
      <x:c r="C28" s="4" t="str">
        <x:v>比例</x:v>
      </x:c>
      <x:c r="D28" s="4" t="str">
        <x:v>(复算−报告)÷报告</x:v>
      </x:c>
      <x:c r="E28" s="4" t="str">
        <x:v>显示为百分比；平均压差59另行解释</x:v>
      </x:c>
    </x:row>
    <x:row r="29" ht="24" customHeight="1">
      <x:c r="A29" s="4" t="str">
        <x:v>指定时期粪隐血次数</x:v>
      </x:c>
      <x:c r="B29" s="20" t="n">
        <x:f>COUNTA(B40:B50)</x:f>
        <x:v>11</x:v>
      </x:c>
      <x:c r="C29" s="4" t="str">
        <x:v>次</x:v>
      </x:c>
      <x:c r="D29" s="4" t="str">
        <x:v>逐独立标本/时点；尿液排除</x:v>
      </x:c>
      <x:c r="E29" s="4" t="str">
        <x:v>下方11条；阴性不排除间歇失血</x:v>
      </x:c>
    </x:row>
    <x:row r="30" ht="24" customHeight="1">
      <x:c r="A30" s="4" t="str">
        <x:v>指定时期阳性次数</x:v>
      </x:c>
      <x:c r="B30" s="20" t="n">
        <x:f>COUNTIF(C40:C50,"阳性")+COUNTIF(C40:C50,"弱阳性")</x:f>
        <x:v>5</x:v>
      </x:c>
      <x:c r="C30" s="4" t="str">
        <x:v>次</x:v>
      </x:c>
      <x:c r="D30" s="4" t="str">
        <x:v>阳性+弱阳性</x:v>
      </x:c>
      <x:c r="E30" s="4" t="str">
        <x:v>Oct13、Nov3、Dec1、Dec9、Dec15；同一转述不另计</x:v>
      </x:c>
    </x:row>
    <x:row r="31" ht="24" customHeight="1">
      <x:c r="A31" s="4" t="str">
        <x:v>粪隐血阳性比例</x:v>
      </x:c>
      <x:c r="B31" s="51" t="n">
        <x:f>B30/B29</x:f>
        <x:v>0.45454545454545453</x:v>
      </x:c>
      <x:c r="C31" s="4" t="str">
        <x:v>比例</x:v>
      </x:c>
      <x:c r="D31" s="4" t="str">
        <x:v>阳性次数÷总次数</x:v>
      </x:c>
      <x:c r="E31" s="4" t="str">
        <x:v>显示45.45%；不能称出血发生率或确诊病源</x:v>
      </x:c>
    </x:row>
    <x:row r="32" ht="24" customHeight="1">
      <x:c r="A32" s="4"/>
      <x:c r="B32" s="4"/>
      <x:c r="C32" s="4"/>
      <x:c r="D32" s="4"/>
      <x:c r="E32" s="4"/>
    </x:row>
    <x:row r="33" ht="24" customHeight="1">
      <x:c r="A33" s="4"/>
      <x:c r="B33" s="4"/>
      <x:c r="C33" s="4"/>
      <x:c r="D33" s="4"/>
      <x:c r="E33" s="4"/>
    </x:row>
    <x:row r="34" ht="24" customHeight="1">
      <x:c r="A34" s="4"/>
      <x:c r="B34" s="4"/>
      <x:c r="C34" s="4"/>
      <x:c r="D34" s="4"/>
      <x:c r="E34" s="4"/>
    </x:row>
    <x:row r="35" ht="24" customHeight="1">
      <x:c r="A35" s="6" t="str">
        <x:v>比较段</x:v>
      </x:c>
      <x:c r="B35" s="53" t="str">
        <x:v>PGmean绝对变化（mmHg）</x:v>
      </x:c>
      <x:c r="C35" s="6" t="str">
        <x:v>PGmean相对变化</x:v>
      </x:c>
      <x:c r="D35" s="6" t="str">
        <x:v>Vmax绝对变化（m/s）</x:v>
      </x:c>
      <x:c r="E35" s="6" t="str">
        <x:v>Vmax相对变化</x:v>
      </x:c>
    </x:row>
    <x:row r="36" ht="24" customHeight="1">
      <x:c r="A36" s="4" t="str">
        <x:v>2020-08-31→09-10</x:v>
      </x:c>
      <x:c r="B36" s="50" t="n">
        <x:f>'事件时间轴'!D23-'事件时间轴'!D19</x:f>
        <x:v>-30</x:v>
      </x:c>
      <x:c r="C36" s="51" t="n">
        <x:f>B36/'事件时间轴'!D19</x:f>
        <x:v>-0.3448275862068966</x:v>
      </x:c>
      <x:c r="D36" s="50" t="n">
        <x:f>'事件时间轴'!C23-'事件时间轴'!C19</x:f>
        <x:v>-0.8000000000000007</x:v>
      </x:c>
      <x:c r="E36" s="51" t="n">
        <x:f>D36/'事件时间轴'!C19</x:f>
        <x:v>-0.13559322033898316</x:v>
      </x:c>
    </x:row>
    <x:row r="37" ht="24" customHeight="1">
      <x:c r="A37" s="4" t="str">
        <x:v>2020-09-10→12-09</x:v>
      </x:c>
      <x:c r="B37" s="50" t="n">
        <x:f>'事件时间轴'!D27-'事件时间轴'!D23</x:f>
        <x:v>2</x:v>
      </x:c>
      <x:c r="C37" s="51" t="n">
        <x:f>B37/'事件时间轴'!D23</x:f>
        <x:v>0.03508771929824561</x:v>
      </x:c>
      <x:c r="D37" s="50" t="n">
        <x:f>'事件时间轴'!C27-'事件时间轴'!C23</x:f>
        <x:v>-0.1999999999999993</x:v>
      </x:c>
      <x:c r="E37" s="51" t="n">
        <x:f>D37/'事件时间轴'!C23</x:f>
        <x:v>-0.039215686274509665</x:v>
      </x:c>
    </x:row>
    <x:row r="38" ht="24" customHeight="1">
      <x:c r="A38" s="4"/>
      <x:c r="B38" s="4"/>
      <x:c r="C38" s="4"/>
      <x:c r="D38" s="4"/>
      <x:c r="E38" s="4"/>
    </x:row>
    <x:row r="39" ht="24" customHeight="1">
      <x:c r="A39" s="6" t="str">
        <x:v>检验时间</x:v>
      </x:c>
      <x:c r="B39" s="53" t="str">
        <x:v>检验号</x:v>
      </x:c>
      <x:c r="C39" s="6" t="str">
        <x:v>结果</x:v>
      </x:c>
      <x:c r="D39" s="6" t="str">
        <x:v>标本</x:v>
      </x:c>
      <x:c r="E39" s="6" t="str">
        <x:v>来源</x:v>
      </x:c>
    </x:row>
    <x:row r="40" ht="24" customHeight="1">
      <x:c r="A40" s="49" t="n">
        <x:v>44096.35199074074</x:v>
      </x:c>
      <x:c r="B40" s="21" t="str">
        <x:v>JY-6937</x:v>
      </x:c>
      <x:c r="C40" s="4" t="str">
        <x:v>阴性</x:v>
      </x:c>
      <x:c r="D40" s="4" t="str">
        <x:v>大便</x:v>
      </x:c>
      <x:c r="E40" s="4" t="str">
        <x:v>10_检验报告单_2021-01-18.xlsx｜常规检验（JY-6937）</x:v>
      </x:c>
    </x:row>
    <x:row r="41" ht="24" customHeight="1">
      <x:c r="A41" s="49" t="n">
        <x:v>44103.37131944444</x:v>
      </x:c>
      <x:c r="B41" s="21" t="str">
        <x:v>JY-6948</x:v>
      </x:c>
      <x:c r="C41" s="4" t="str">
        <x:v>阴性</x:v>
      </x:c>
      <x:c r="D41" s="4" t="str">
        <x:v>大便</x:v>
      </x:c>
      <x:c r="E41" s="4" t="str">
        <x:v>10_检验报告单_2021-01-18.xlsx｜常规检验（JY-6948）</x:v>
      </x:c>
    </x:row>
    <x:row r="42" ht="24" customHeight="1">
      <x:c r="A42" s="49" t="n">
        <x:v>44117.36210648148</x:v>
      </x:c>
      <x:c r="B42" s="21" t="str">
        <x:v>JY-6964</x:v>
      </x:c>
      <x:c r="C42" s="4" t="str">
        <x:v>弱阳性</x:v>
      </x:c>
      <x:c r="D42" s="4" t="str">
        <x:v>大便</x:v>
      </x:c>
      <x:c r="E42" s="4" t="str">
        <x:v>10_检验报告单_2021-01-18.xlsx｜常规检验（JY-6964）</x:v>
      </x:c>
    </x:row>
    <x:row r="43" ht="24" customHeight="1">
      <x:c r="A43" s="49" t="n">
        <x:v>44124.375752314816</x:v>
      </x:c>
      <x:c r="B43" s="21" t="str">
        <x:v>JY-7041</x:v>
      </x:c>
      <x:c r="C43" s="4" t="str">
        <x:v>阴性</x:v>
      </x:c>
      <x:c r="D43" s="4" t="str">
        <x:v>大便</x:v>
      </x:c>
      <x:c r="E43" s="4" t="str">
        <x:v>10_检验报告单_2021-01-18.xlsx｜常规检验（JY-7041）</x:v>
      </x:c>
    </x:row>
    <x:row r="44" ht="24" customHeight="1">
      <x:c r="A44" s="49" t="n">
        <x:v>44131.361354166664</x:v>
      </x:c>
      <x:c r="B44" s="21" t="str">
        <x:v>JY-7059</x:v>
      </x:c>
      <x:c r="C44" s="4" t="str">
        <x:v>阴性</x:v>
      </x:c>
      <x:c r="D44" s="4" t="str">
        <x:v>大便</x:v>
      </x:c>
      <x:c r="E44" s="4" t="str">
        <x:v>10_检验报告单_2021-01-18.xlsx｜常规检验（JY-7059）</x:v>
      </x:c>
    </x:row>
    <x:row r="45" ht="24" customHeight="1">
      <x:c r="A45" s="49" t="n">
        <x:v>44138.37710648148</x:v>
      </x:c>
      <x:c r="B45" s="21" t="str">
        <x:v>JY-7127</x:v>
      </x:c>
      <x:c r="C45" s="4" t="str">
        <x:v>阳性</x:v>
      </x:c>
      <x:c r="D45" s="4" t="str">
        <x:v>大便</x:v>
      </x:c>
      <x:c r="E45" s="4" t="str">
        <x:v>10_检验报告单_2021-01-18.xlsx｜常规检验（JY-7127）</x:v>
      </x:c>
    </x:row>
    <x:row r="46" ht="24" customHeight="1">
      <x:c r="A46" s="49" t="n">
        <x:v>44144.366006944445</x:v>
      </x:c>
      <x:c r="B46" s="21" t="str">
        <x:v>JY-7146</x:v>
      </x:c>
      <x:c r="C46" s="4" t="str">
        <x:v>阴性</x:v>
      </x:c>
      <x:c r="D46" s="4" t="str">
        <x:v>大便</x:v>
      </x:c>
      <x:c r="E46" s="4" t="str">
        <x:v>10_检验报告单_2021-01-18.xlsx｜常规检验（JY-7146）</x:v>
      </x:c>
    </x:row>
    <x:row r="47" ht="24" customHeight="1">
      <x:c r="A47" s="49" t="n">
        <x:v>44166.352326388886</x:v>
      </x:c>
      <x:c r="B47" s="21" t="str">
        <x:v>JY-7305</x:v>
      </x:c>
      <x:c r="C47" s="4" t="str">
        <x:v>阳性</x:v>
      </x:c>
      <x:c r="D47" s="4" t="str">
        <x:v>大便</x:v>
      </x:c>
      <x:c r="E47" s="4" t="str">
        <x:v>10_检验报告单_2021-01-18.xlsx｜常规检验（JY-7305）</x:v>
      </x:c>
    </x:row>
    <x:row r="48" ht="24" customHeight="1">
      <x:c r="A48" s="49" t="n">
        <x:v>44174.367164351854</x:v>
      </x:c>
      <x:c r="B48" s="21" t="str">
        <x:v>JY-7377</x:v>
      </x:c>
      <x:c r="C48" s="4" t="str">
        <x:v>弱阳性</x:v>
      </x:c>
      <x:c r="D48" s="4" t="str">
        <x:v>大便</x:v>
      </x:c>
      <x:c r="E48" s="4" t="str">
        <x:v>10_检验报告单_2021-01-18.xlsx｜常规检验（JY-7377）</x:v>
      </x:c>
    </x:row>
    <x:row r="49" ht="24" customHeight="1">
      <x:c r="A49" s="49" t="n">
        <x:v>44180.35780092593</x:v>
      </x:c>
      <x:c r="B49" s="21" t="str">
        <x:v>JY-7396</x:v>
      </x:c>
      <x:c r="C49" s="4" t="str">
        <x:v>弱阳性</x:v>
      </x:c>
      <x:c r="D49" s="4" t="str">
        <x:v>大便</x:v>
      </x:c>
      <x:c r="E49" s="4" t="str">
        <x:v>10_检验报告单_2021-01-18.xlsx｜常规检验（JY-7396）</x:v>
      </x:c>
    </x:row>
    <x:row r="50" ht="24" customHeight="1">
      <x:c r="A50" s="49" t="n">
        <x:v>44213.66883101852</x:v>
      </x:c>
      <x:c r="B50" s="21" t="str">
        <x:v>JY-2089</x:v>
      </x:c>
      <x:c r="C50" s="4" t="str">
        <x:v>阴性</x:v>
      </x:c>
      <x:c r="D50" s="4" t="str">
        <x:v>大便</x:v>
      </x:c>
      <x:c r="E50" s="4" t="str">
        <x:v>10_检验报告单_2021-01-18.xlsx｜常规检验（JY-2089）</x:v>
      </x:c>
    </x:row>
    <x:row r="51" ht="24" customHeight="1">
      <x:c r="A51" s="4"/>
      <x:c r="B51" s="4"/>
      <x:c r="C51" s="4"/>
      <x:c r="D51" s="4"/>
      <x:c r="E51" s="4"/>
    </x:row>
    <x:row r="52" ht="24" customHeight="1">
      <x:c r="A52" s="4" t="str">
        <x:v>变化的临床解释</x:v>
      </x:c>
      <x:c r="B52" s="21" t="str">
        <x:v>压差下降可有高流量成分，但12月均值仍59，且2014–2019已增高；不能据下降认为机械AVR梗阻解除。</x:v>
      </x:c>
      <x:c r="C52" s="4"/>
      <x:c r="D52" s="4"/>
      <x:c r="E52" s="4"/>
    </x:row>
    <x:row r="53" ht="24" customHeight="1">
      <x:c r="A53" s="4" t="str">
        <x:v>数据比较限制</x:v>
      </x:c>
      <x:c r="B53" s="21" t="str">
        <x:v>CBC109与血气ctHb101.7的方法及时间不同；INR不用于量化LMWH。停嘱与已记录末针分开，造影一次性UFH不构成连续桥接。</x:v>
      </x:c>
      <x:c r="C53" s="4"/>
      <x:c r="D53" s="4"/>
      <x:c r="E53" s="4"/>
    </x:row>
    <x:row r="54" ht="24" customHeight="1">
      <x:c r="A54" s="4"/>
      <x:c r="B54" s="4"/>
      <x:c r="C54" s="4"/>
      <x:c r="D54" s="4"/>
      <x:c r="E54" s="4"/>
    </x:row>
    <x:row r="55" ht="24" customHeight="1">
      <x:c r="A55" s="4"/>
      <x:c r="B55" s="4"/>
      <x:c r="C55" s="4"/>
      <x:c r="D55" s="4"/>
      <x:c r="E55" s="4"/>
    </x:row>
    <x:row r="56" ht="24" customHeight="1">
      <x:c r="A56" s="6" t="str">
        <x:v>实际抗凝时刻核算</x:v>
      </x:c>
      <x:c r="B56" s="53" t="str">
        <x:v>值</x:v>
      </x:c>
      <x:c r="C56" s="6" t="str">
        <x:v>单位</x:v>
      </x:c>
      <x:c r="D56" s="6" t="str">
        <x:v>公式或依据</x:v>
      </x:c>
      <x:c r="E56" s="6" t="str">
        <x:v>临床解释</x:v>
      </x:c>
    </x:row>
    <x:row r="57" ht="39" customHeight="1">
      <x:c r="A57" s="4" t="str">
        <x:v>依诺末次实际给药</x:v>
      </x:c>
      <x:c r="B57" s="49" t="n">
        <x:v>44213.833333333336</x:v>
      </x:c>
      <x:c r="C57" s="4" t="str">
        <x:v>日期时间</x:v>
      </x:c>
      <x:c r="D57" s="4" t="str">
        <x:v>11_药品医嘱单_2021-01-18.xlsx｜围术期给药与药历（GY-0004）</x:v>
      </x:c>
      <x:c r="E57" s="4" t="str">
        <x:v>已执行</x:v>
      </x:c>
    </x:row>
    <x:row r="58" ht="24" customHeight="1">
      <x:c r="A58" s="4" t="str">
        <x:v>拟开刀</x:v>
      </x:c>
      <x:c r="B58" s="49" t="n">
        <x:v>44215.395833333336</x:v>
      </x:c>
      <x:c r="C58" s="4" t="str">
        <x:v>日期时间</x:v>
      </x:c>
      <x:c r="D58" s="4" t="str">
        <x:v>06_病程记录_2021-01-18.xlsx｜病程记录（BC-9004）</x:v>
      </x:c>
      <x:c r="E58" s="4" t="str">
        <x:v>计划</x:v>
      </x:c>
    </x:row>
    <x:row r="59" ht="24" customHeight="1">
      <x:c r="A59" s="4" t="str">
        <x:v>末针至拟开刀</x:v>
      </x:c>
      <x:c r="B59" s="50" t="n">
        <x:f>(B58-B57)*24</x:f>
        <x:v>37.5</x:v>
      </x:c>
      <x:c r="C59" s="4" t="str">
        <x:v>h</x:v>
      </x:c>
      <x:c r="D59" s="4" t="str">
        <x:v>（拟开刀−实际末针）×24</x:v>
      </x:c>
      <x:c r="E59" s="4" t="str">
        <x:v>最新排台37.5h；不沿用原14:30核算42.5h</x:v>
      </x:c>
    </x:row>
    <x:row r="60" ht="39" customHeight="1">
      <x:c r="A60" s="4" t="str">
        <x:v>会前原拟UFH停止</x:v>
      </x:c>
      <x:c r="B60" s="49" t="n">
        <x:v>44215.354166666664</x:v>
      </x:c>
      <x:c r="C60" s="4" t="str">
        <x:v>日期时间</x:v>
      </x:c>
      <x:c r="D60" s="4" t="str">
        <x:v>11_药品医嘱单_2021-01-18.xlsx｜围术期会前拟案（FA-02）</x:v>
      </x:c>
      <x:c r="E60" s="4" t="str">
        <x:v>未执行的原拟案</x:v>
      </x:c>
    </x:row>
    <x:row r="61" ht="24" customHeight="1">
      <x:c r="A61" s="4" t="str">
        <x:v>原拟停止至最新开刀</x:v>
      </x:c>
      <x:c r="B61" s="50" t="n">
        <x:f>(B58-B60)*24</x:f>
        <x:v>1.0000000001164153</x:v>
      </x:c>
      <x:c r="C61" s="4" t="str">
        <x:v>h</x:v>
      </x:c>
      <x:c r="D61" s="4" t="str">
        <x:v>（拟开刀−计划停泵）×24</x:v>
      </x:c>
      <x:c r="E61" s="4" t="str">
        <x:v>仅1h，原拟案停泵安排不适用于最新版排台</x:v>
      </x:c>
    </x:row>
    <x:row r="62" ht="39" customHeight="1">
      <x:c r="A62" s="4" t="str">
        <x:v>UFH体重剂量</x:v>
      </x:c>
      <x:c r="B62" s="21" t="n">
        <x:v>12</x:v>
      </x:c>
      <x:c r="C62" s="4" t="str">
        <x:v>U/kg/h</x:v>
      </x:c>
      <x:c r="D62" s="4" t="str">
        <x:v>11_药品医嘱单_2021-01-18.xlsx｜围术期会前拟案（FA-02）</x:v>
      </x:c>
      <x:c r="E62" s="4" t="str">
        <x:v>无负荷</x:v>
      </x:c>
    </x:row>
    <x:row r="63" ht="24" customHeight="1">
      <x:c r="A63" s="4" t="str">
        <x:v>UFH计划每小时量</x:v>
      </x:c>
      <x:c r="B63" s="20" t="n">
        <x:f>B62*B7</x:f>
        <x:v>660</x:v>
      </x:c>
      <x:c r="C63" s="4" t="str">
        <x:v>U/h</x:v>
      </x:c>
      <x:c r="D63" s="4" t="str">
        <x:v>体重×U/kg/h</x:v>
      </x:c>
      <x:c r="E63" s="4" t="str">
        <x:v>55kg×12=660U/h</x:v>
      </x:c>
    </x:row>
    <x:row r="64" ht="24" customHeight="1">
      <x:c r="A64" s="4"/>
      <x:c r="B64" s="4"/>
      <x:c r="C64" s="4"/>
      <x:c r="D64" s="4"/>
      <x:c r="E64" s="4"/>
    </x:row>
    <x:row r="65" ht="24" customHeight="1">
      <x:c r="A65" s="6" t="str">
        <x:v>拟案及排台校核</x:v>
      </x:c>
      <x:c r="B65" s="53" t="str">
        <x:v>值</x:v>
      </x:c>
      <x:c r="C65" s="6" t="str">
        <x:v>单位</x:v>
      </x:c>
      <x:c r="D65" s="6" t="str">
        <x:v>公式或依据</x:v>
      </x:c>
      <x:c r="E65" s="6" t="str">
        <x:v>解释</x:v>
      </x:c>
    </x:row>
    <x:row r="66" ht="39" customHeight="1">
      <x:c r="A66" s="4" t="str">
        <x:v>UFH配液总量</x:v>
      </x:c>
      <x:c r="B66" s="20" t="n">
        <x:v>250</x:v>
      </x:c>
      <x:c r="C66" s="4" t="str">
        <x:v>mL</x:v>
      </x:c>
      <x:c r="D66" s="4" t="str">
        <x:v>11_药品医嘱单_2021-01-18.xlsx｜围术期会前拟案（FA-02）</x:v>
      </x:c>
      <x:c r="E66" s="4" t="str">
        <x:v>总配液量</x:v>
      </x:c>
    </x:row>
    <x:row r="67" ht="39" customHeight="1">
      <x:c r="A67" s="4" t="str">
        <x:v>UFH配液药量</x:v>
      </x:c>
      <x:c r="B67" s="20" t="n">
        <x:v>12500</x:v>
      </x:c>
      <x:c r="C67" s="4" t="str">
        <x:v>U</x:v>
      </x:c>
      <x:c r="D67" s="4" t="str">
        <x:v>11_药品医嘱单_2021-01-18.xlsx｜围术期会前拟案（FA-02）</x:v>
      </x:c>
      <x:c r="E67" s="4" t="str">
        <x:v>不等于造影实用量</x:v>
      </x:c>
    </x:row>
    <x:row r="68" ht="24" customHeight="1">
      <x:c r="A68" s="4" t="str">
        <x:v>UFH配液浓度</x:v>
      </x:c>
      <x:c r="B68" s="47" t="n">
        <x:f>B67/B66</x:f>
        <x:v>50</x:v>
      </x:c>
      <x:c r="C68" s="4" t="str">
        <x:v>U/mL</x:v>
      </x:c>
      <x:c r="D68" s="4" t="str">
        <x:v>B67/B66</x:v>
      </x:c>
      <x:c r="E68" s="4" t="str">
        <x:v>50U/mL</x:v>
      </x:c>
    </x:row>
    <x:row r="69" ht="24" customHeight="1">
      <x:c r="A69" s="4" t="str">
        <x:v>UFH泵速</x:v>
      </x:c>
      <x:c r="B69" s="47" t="n">
        <x:f>B63/B68</x:f>
        <x:v>13.2</x:v>
      </x:c>
      <x:c r="C69" s="4" t="str">
        <x:v>mL/h</x:v>
      </x:c>
      <x:c r="D69" s="4" t="str">
        <x:v>B63/B68</x:v>
      </x:c>
      <x:c r="E69" s="4" t="str">
        <x:v>对应体重剂量，不是负荷</x:v>
      </x:c>
    </x:row>
    <x:row r="70" ht="39" customHeight="1">
      <x:c r="A70" s="4" t="str">
        <x:v>LMWH拟案给药时刻</x:v>
      </x:c>
      <x:c r="B70" s="49" t="n">
        <x:v>44214.833333333336</x:v>
      </x:c>
      <x:c r="C70" s="4" t="str">
        <x:v>日期时间</x:v>
      </x:c>
      <x:c r="D70" s="4" t="str">
        <x:v>11_药品医嘱单_2021-01-18.xlsx｜围术期会前拟案（FA-01）</x:v>
      </x:c>
      <x:c r="E70" s="4" t="str">
        <x:v>拟案，未执行</x:v>
      </x:c>
    </x:row>
    <x:row r="71" ht="24" customHeight="1">
      <x:c r="A71" s="4" t="str">
        <x:v>LMWH拟案至最新开刀</x:v>
      </x:c>
      <x:c r="B71" s="50" t="n">
        <x:f>(B58-B70)*24</x:f>
        <x:v>13.5</x:v>
      </x:c>
      <x:c r="C71" s="4" t="str">
        <x:v>h</x:v>
      </x:c>
      <x:c r="D71" s="4" t="str">
        <x:v>(B58-B70)×24</x:v>
      </x:c>
      <x:c r="E71" s="4" t="str">
        <x:v>13.5h，未满足约24h末针参照</x:v>
      </x:c>
    </x:row>
    <x:row r="72" ht="24" customHeight="1">
      <x:c r="A72" s="4" t="str">
        <x:v>LMWH拟案单次剂量</x:v>
      </x:c>
      <x:c r="B72" s="47" t="n">
        <x:f>B7</x:f>
        <x:v>55</x:v>
      </x:c>
      <x:c r="C72" s="4" t="str">
        <x:v>mg</x:v>
      </x:c>
      <x:c r="D72" s="4" t="str">
        <x:v>1mg/kg×B7</x:v>
      </x:c>
      <x:c r="E72" s="4" t="str">
        <x:v>FA-01拟案参照量；结合停止窗口及止血条件决定方案</x:v>
      </x:c>
    </x:row>
    <x:row r="73" ht="24" customHeight="1">
      <x:c r="A73" s="4" t="str">
        <x:v>09:30拟修订UFH停止</x:v>
      </x:c>
      <x:c r="B73" s="49" t="n">
        <x:v>44215.145833333336</x:v>
      </x:c>
      <x:c r="C73" s="4" t="str">
        <x:v>日期时间</x:v>
      </x:c>
      <x:c r="D73" s="4" t="str">
        <x:v>09:30前6h</x:v>
      </x:c>
      <x:c r="E73" s="4" t="str">
        <x:v>由主管确认后的建议</x:v>
      </x:c>
    </x:row>
    <x:row r="74" ht="24" customHeight="1">
      <x:c r="A74" s="4" t="str">
        <x:v>修订停止至09:30</x:v>
      </x:c>
      <x:c r="B74" s="50" t="n">
        <x:f>(B58-B73)*24</x:f>
        <x:v>6</x:v>
      </x:c>
      <x:c r="C74" s="4" t="str">
        <x:v>h</x:v>
      </x:c>
      <x:c r="D74" s="4" t="str">
        <x:v>(B58-B73)×24</x:v>
      </x:c>
      <x:c r="E74" s="4" t="str">
        <x:v>6h，另确认实际停泵及APTT/止血</x:v>
      </x:c>
    </x:row>
    <x:row r="75" ht="24" customHeight="1">
      <x:c r="A75" s="4" t="str">
        <x:v>备用排台</x:v>
      </x:c>
      <x:c r="B75" s="49" t="n">
        <x:v>44215.770833333336</x:v>
      </x:c>
      <x:c r="C75" s="4" t="str">
        <x:v>日期时间</x:v>
      </x:c>
      <x:c r="D75" s="4" t="str">
        <x:v>06_病程记录_2021-01-18.xlsx｜病程记录（BC-9004）</x:v>
      </x:c>
      <x:c r="E75" s="4" t="str">
        <x:v>尚未采用</x:v>
      </x:c>
    </x:row>
    <x:row r="76" ht="24" customHeight="1">
      <x:c r="A76" s="4" t="str">
        <x:v>原08:30停止至备用开刀</x:v>
      </x:c>
      <x:c r="B76" s="50" t="n">
        <x:f>(B75-B60)*24</x:f>
        <x:v>10.000000000116415</x:v>
      </x:c>
      <x:c r="C76" s="4" t="str">
        <x:v>h</x:v>
      </x:c>
      <x:c r="D76" s="4" t="str">
        <x:v>(B75-B60)×24</x:v>
      </x:c>
      <x:c r="E76" s="4" t="str">
        <x:v>10h中断，须同步调整覆盖</x:v>
      </x:c>
    </x:row>
    <x:row r="77" ht="24" customHeight="1">
      <x:c r="A77" s="4" t="str">
        <x:v>备用排台拟UFH停止</x:v>
      </x:c>
      <x:c r="B77" s="49" t="n">
        <x:v>44215.520833333336</x:v>
      </x:c>
      <x:c r="C77" s="4" t="str">
        <x:v>日期时间</x:v>
      </x:c>
      <x:c r="D77" s="4" t="str">
        <x:v>18:30前6h</x:v>
      </x:c>
      <x:c r="E77" s="4" t="str">
        <x:v>按实际排台由主管确认</x:v>
      </x:c>
    </x:row>
    <x:row r="78" ht="24" customHeight="1">
      <x:c r="A78" s="4" t="str">
        <x:v>备用停止至开刀</x:v>
      </x:c>
      <x:c r="B78" s="50" t="n">
        <x:f>(B75-B77)*24</x:f>
        <x:v>6</x:v>
      </x:c>
      <x:c r="C78" s="4" t="str">
        <x:v>h</x:v>
      </x:c>
      <x:c r="D78" s="4" t="str">
        <x:v>(B75-B77)×24</x:v>
      </x:c>
      <x:c r="E78" s="4" t="str">
        <x:v>6h</x:v>
      </x:c>
    </x:row>
    <x:row r="79" ht="24" customHeight="1">
      <x:c r="A79" s="4"/>
      <x:c r="B79" s="4"/>
      <x:c r="C79" s="4"/>
      <x:c r="D79" s="4"/>
      <x:c r="E79" s="4"/>
    </x:row>
    <x:row r="80" ht="24" customHeight="1">
      <x:c r="A80" s="6" t="str">
        <x:v>当下瓣膜及体型校核</x:v>
      </x:c>
      <x:c r="B80" s="53" t="str">
        <x:v>值</x:v>
      </x:c>
      <x:c r="C80" s="6" t="str">
        <x:v>单位</x:v>
      </x:c>
      <x:c r="D80" s="6" t="str">
        <x:v>来源或公式</x:v>
      </x:c>
      <x:c r="E80" s="6" t="str">
        <x:v>解释</x:v>
      </x:c>
    </x:row>
    <x:row r="81" ht="24" customHeight="1">
      <x:c r="A81" s="4" t="str">
        <x:v>体表面积</x:v>
      </x:c>
      <x:c r="B81" s="47" t="n">
        <x:v>1.53</x:v>
      </x:c>
      <x:c r="C81" s="4" t="str">
        <x:v>m²</x:v>
      </x:c>
      <x:c r="D81" s="4" t="str">
        <x:v>07_超声检查报告_2021-01-18.pdf第12页</x:v>
      </x:c>
      <x:c r="E81" s="4" t="str">
        <x:v>报告BSA</x:v>
      </x:c>
    </x:row>
    <x:row r="82" ht="24" customHeight="1">
      <x:c r="A82" s="4" t="str">
        <x:v>每搏量</x:v>
      </x:c>
      <x:c r="B82" s="20" t="n">
        <x:v>65</x:v>
      </x:c>
      <x:c r="C82" s="4" t="str">
        <x:v>mL</x:v>
      </x:c>
      <x:c r="D82" s="4" t="str">
        <x:v>07_超声检查报告_2021-01-18.pdf第12页</x:v>
      </x:c>
      <x:c r="E82" s="4" t="str">
        <x:v>报告SV</x:v>
      </x:c>
    </x:row>
    <x:row r="83" ht="24" customHeight="1">
      <x:c r="A83" s="4" t="str">
        <x:v>每搏量指数</x:v>
      </x:c>
      <x:c r="B83" s="47" t="n">
        <x:f>B82/B81</x:f>
        <x:v>42.48366013071895</x:v>
      </x:c>
      <x:c r="C83" s="4" t="str">
        <x:v>mL/m²</x:v>
      </x:c>
      <x:c r="D83" s="4" t="str">
        <x:v>B82/B81</x:v>
      </x:c>
      <x:c r="E83" s="4" t="str">
        <x:v>不按高流量单独解释梯度</x:v>
      </x:c>
    </x:row>
    <x:row r="84" ht="24" customHeight="1">
      <x:c r="A84" s="4" t="str">
        <x:v>当前AVR EOA</x:v>
      </x:c>
      <x:c r="B84" s="47" t="n">
        <x:v>0.78</x:v>
      </x:c>
      <x:c r="C84" s="4" t="str">
        <x:v>cm²</x:v>
      </x:c>
      <x:c r="D84" s="4" t="str">
        <x:v>07_超声检查报告_2021-01-18.pdf第12页</x:v>
      </x:c>
      <x:c r="E84" s="4" t="str">
        <x:v>瓣位AVR</x:v>
      </x:c>
    </x:row>
    <x:row r="85" ht="24" customHeight="1">
      <x:c r="A85" s="4" t="str">
        <x:v>当前AVR EOAi</x:v>
      </x:c>
      <x:c r="B85" s="47" t="n">
        <x:f>B84/B81</x:f>
        <x:v>0.5098039215686274</x:v>
      </x:c>
      <x:c r="C85" s="4" t="str">
        <x:v>cm²/m²</x:v>
      </x:c>
      <x:c r="D85" s="4" t="str">
        <x:v>B84/B81</x:v>
      </x:c>
      <x:c r="E85" s="4" t="str">
        <x:v>低指数不能单独诊断原发PPM</x:v>
      </x:c>
    </x:row>
    <x:row r="86" ht="24" customHeight="1">
      <x:c r="A86" s="4" t="str">
        <x:v>2008年基线AVR EOA</x:v>
      </x:c>
      <x:c r="B86" s="47" t="n">
        <x:v>1.6</x:v>
      </x:c>
      <x:c r="C86" s="4" t="str">
        <x:v>cm²</x:v>
      </x:c>
      <x:c r="D86" s="4" t="str">
        <x:v>07_超声检查报告_2021-01-18.pdf第12页</x:v>
      </x:c>
      <x:c r="E86" s="4" t="str">
        <x:v>同一型号尺寸机械AVR</x:v>
      </x:c>
    </x:row>
    <x:row r="87" ht="24" customHeight="1">
      <x:c r="A87" s="4" t="str">
        <x:v>基线面积按当前体型校核</x:v>
      </x:c>
      <x:c r="B87" s="47" t="n">
        <x:f>B86/B81</x:f>
        <x:v>1.0457516339869282</x:v>
      </x:c>
      <x:c r="C87" s="4" t="str">
        <x:v>cm²/m²</x:v>
      </x:c>
      <x:c r="D87" s="4" t="str">
        <x:v>B86/B81</x:v>
      </x:c>
      <x:c r="E87" s="4" t="str">
        <x:v>以当前BSA比较基线面积，未测得2008年同期EOAi</x:v>
      </x:c>
    </x:row>
    <x:row r="88" ht="24" customHeight="1">
      <x:c r="A88" s="4" t="str">
        <x:v>当前DVI</x:v>
      </x:c>
      <x:c r="B88" s="47" t="n">
        <x:v>0.22</x:v>
      </x:c>
      <x:c r="C88" s="4" t="str">
        <x:v>比例</x:v>
      </x:c>
      <x:c r="D88" s="4" t="str">
        <x:v>07_超声检查报告_2021-01-18.pdf第12页</x:v>
      </x:c>
      <x:c r="E88" s="4" t="str">
        <x:v>结合流量、AT和瓣叶</x:v>
      </x:c>
    </x:row>
    <x:row r="89" ht="24" customHeight="1">
      <x:c r="A89" s="4" t="str">
        <x:v>当前AT</x:v>
      </x:c>
      <x:c r="B89" s="20" t="n">
        <x:v>124</x:v>
      </x:c>
      <x:c r="C89" s="4" t="str">
        <x:v>ms</x:v>
      </x:c>
      <x:c r="D89" s="4" t="str">
        <x:v>07_超声检查报告_2021-01-18.pdf第12页</x:v>
      </x:c>
      <x:c r="E89" s="4" t="str">
        <x:v>非单个压差决定机制</x:v>
      </x:c>
    </x:row>
  </x:sheetData>
  <x:mergeCells>
    <x:mergeCell ref="A1:E1"/>
    <x:mergeCell ref="A2:E2"/>
    <x:mergeCell ref="B52:E52"/>
    <x:mergeCell ref="B53:E53"/>
  </x:mergeCells>
  <x:pageMargins left="0.7" right="0.7" top="0.75" bottom="0.75" header="0.3" footer="0.3"/>
</x:worksheet>
</file>