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甄念\【kps】专家题生产\gpt_outputs\周浩然六题生产_2026-10-14_v1\SJYP-Finance-ZHR-20261014-02\solution\"/>
    </mc:Choice>
  </mc:AlternateContent>
  <bookViews>
    <workbookView/>
  </bookViews>
  <sheets>
    <sheet name="资金需求" sheetId="1" r:id="rId1"/>
    <sheet name="参数复算" sheetId="2" r:id="rId2"/>
    <sheet name="追加资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<sst xmlns="http://schemas.openxmlformats.org/spreadsheetml/2006/main" count="250" uniqueCount="133">
  <si>
    <t>序号</t>
  </si>
  <si>
    <t>事项</t>
  </si>
  <si>
    <t>金额或结果</t>
  </si>
  <si>
    <t>单位</t>
  </si>
  <si>
    <t>性质</t>
  </si>
  <si>
    <t>出处</t>
  </si>
  <si>
    <t>处理说明</t>
  </si>
  <si>
    <t>货币资金</t>
  </si>
  <si>
    <t>万元</t>
  </si>
  <si>
    <t>原披露</t>
  </si>
  <si>
    <t>东阳光审核问询函回复.pdf 物理页588</t>
  </si>
  <si>
    <t>备考2025年末</t>
  </si>
  <si>
    <t>受限货币资金</t>
  </si>
  <si>
    <t>从货币资金扣减</t>
  </si>
  <si>
    <t>财务性投资</t>
  </si>
  <si>
    <t>变现条件待核</t>
  </si>
  <si>
    <t>待发行债券</t>
  </si>
  <si>
    <t>计划融资</t>
  </si>
  <si>
    <t>东阳光审核问询函回复.pdf 物理页589</t>
  </si>
  <si>
    <t>已获批不等于资金已到位</t>
  </si>
  <si>
    <t>原口径可使用资金</t>
  </si>
  <si>
    <t>计算</t>
  </si>
  <si>
    <t>按原公式复算</t>
  </si>
  <si>
    <t>不含待发行债券</t>
  </si>
  <si>
    <t>条件计算</t>
  </si>
  <si>
    <t>东阳光审核问询函回复.pdf 物理页588至589</t>
  </si>
  <si>
    <t>不视作全部可立即支配现金</t>
  </si>
  <si>
    <t>预计三年经营现金流</t>
  </si>
  <si>
    <t>预测披露</t>
  </si>
  <si>
    <t>东阳光审核问询函回复.pdf 物理页589至590</t>
  </si>
  <si>
    <t>原披露值</t>
  </si>
  <si>
    <t>最低现金保有量</t>
  </si>
  <si>
    <t>资金需求分项</t>
  </si>
  <si>
    <t>现金对价与中介费空项</t>
  </si>
  <si>
    <t>汇总算术按零</t>
  </si>
  <si>
    <t>原表为横杠；不推断业务事实</t>
  </si>
  <si>
    <t>新增最低现金保有量</t>
  </si>
  <si>
    <t>现金分红</t>
  </si>
  <si>
    <t>东阳光审核问询函回复.pdf 物理页589、591</t>
  </si>
  <si>
    <t>大额资本性支出</t>
  </si>
  <si>
    <t>偿还有息负债利息</t>
  </si>
  <si>
    <t>东阳光审核问询函回复.pdf 物理页589、592</t>
  </si>
  <si>
    <t>不是全部本金</t>
  </si>
  <si>
    <t>原披露资金需求合计</t>
  </si>
  <si>
    <t>原汇总</t>
  </si>
  <si>
    <t>原字面值保留</t>
  </si>
  <si>
    <t>按分项复算需求</t>
  </si>
  <si>
    <t>按表内公式求和</t>
  </si>
  <si>
    <t>复算较披露多</t>
  </si>
  <si>
    <t>待解释差异</t>
  </si>
  <si>
    <t>索取调节明细</t>
  </si>
  <si>
    <t>原披露总缺口</t>
  </si>
  <si>
    <t>保留原值</t>
  </si>
  <si>
    <t>按分项复算总缺口</t>
  </si>
  <si>
    <t>维持其他原输入</t>
  </si>
  <si>
    <t>按原汇总复算缺口</t>
  </si>
  <si>
    <t>与原披露对应</t>
  </si>
  <si>
    <t>补流及偿债缺口</t>
  </si>
  <si>
    <t>新增现金保有量加利息</t>
  </si>
  <si>
    <t>拟用于补流偿债的募集资金</t>
  </si>
  <si>
    <t>计划</t>
  </si>
  <si>
    <t>东阳光审核问询函回复.pdf 物理页592</t>
  </si>
  <si>
    <t>按回复定义</t>
  </si>
  <si>
    <t>补流偿债范围余缺</t>
  </si>
  <si>
    <t>未扩张到全部借款本金</t>
  </si>
  <si>
    <t>配募总额</t>
  </si>
  <si>
    <t>东阳光审核问询函回复.pdf 物理页588、592</t>
  </si>
  <si>
    <t>未等同实际募集结果</t>
  </si>
  <si>
    <t>足额配募后复算余缺</t>
  </si>
  <si>
    <t>含待发行债券按原设定</t>
  </si>
  <si>
    <t>待发行债券未落实时余缺</t>
  </si>
  <si>
    <t>其余输入不变</t>
  </si>
  <si>
    <t>原始数或计算结果</t>
  </si>
  <si>
    <t>说明</t>
  </si>
  <si>
    <t>披露收入增长率</t>
  </si>
  <si>
    <t>比例</t>
  </si>
  <si>
    <t>东阳光审核问询函回复.pdf 物理页590</t>
  </si>
  <si>
    <t>披露至两位小数百分比</t>
  </si>
  <si>
    <t>2025营业收入</t>
  </si>
  <si>
    <t>备考基础</t>
  </si>
  <si>
    <t>2026预计收入</t>
  </si>
  <si>
    <t>2027预计收入</t>
  </si>
  <si>
    <t>2028预计收入</t>
  </si>
  <si>
    <t>三年预计收入合计</t>
  </si>
  <si>
    <t>按列示值汇总</t>
  </si>
  <si>
    <t>披露现金转换比例</t>
  </si>
  <si>
    <t>显示精度6.02%</t>
  </si>
  <si>
    <t>显示比例直接复算现金流</t>
  </si>
  <si>
    <t>不作为替代原精确模型</t>
  </si>
  <si>
    <t>原披露现金流</t>
  </si>
  <si>
    <t>披露较显示比例复算多</t>
  </si>
  <si>
    <t>可能与舍入有关，待核参数</t>
  </si>
  <si>
    <t>现金流隐含比例</t>
  </si>
  <si>
    <t>能四舍五入显示6.02%</t>
  </si>
  <si>
    <t>显示增速复算2026收入</t>
  </si>
  <si>
    <t>仅检查精度</t>
  </si>
  <si>
    <t>2026收入隐含增长率</t>
  </si>
  <si>
    <t>能四舍五入显示16.69%</t>
  </si>
  <si>
    <t>资本开支募投项目</t>
  </si>
  <si>
    <t>东阳光审核问询函回复.pdf 物理页591</t>
  </si>
  <si>
    <t>资本开支在建工程</t>
  </si>
  <si>
    <t>资本开支储备项目</t>
  </si>
  <si>
    <t>资本性支出分项合计</t>
  </si>
  <si>
    <t>应等于资金需求分项</t>
  </si>
  <si>
    <t>短期借款预计利息</t>
  </si>
  <si>
    <t>长期借款预计利息</t>
  </si>
  <si>
    <t>应付债券预计利息</t>
  </si>
  <si>
    <t>目标公司短期借款利息</t>
  </si>
  <si>
    <t>2026年</t>
  </si>
  <si>
    <t>目标公司长期借款利息</t>
  </si>
  <si>
    <t>含一年内到期部分</t>
  </si>
  <si>
    <t>利息分项合计</t>
  </si>
  <si>
    <t>资料</t>
  </si>
  <si>
    <t>核对目的</t>
  </si>
  <si>
    <t>目前证据边界</t>
  </si>
  <si>
    <t>资金原模型及调节明细</t>
  </si>
  <si>
    <t>解释63,200.00万元差异</t>
  </si>
  <si>
    <t>原表分项与汇总不衔接</t>
  </si>
  <si>
    <t>未舍入预测参数</t>
  </si>
  <si>
    <t>解释53.87万元及收入舍入残差</t>
  </si>
  <si>
    <t>披露比例有显示精度</t>
  </si>
  <si>
    <t>债券发行结果及受限现金明细</t>
  </si>
  <si>
    <t>确认实际可动用资金</t>
  </si>
  <si>
    <t>获批待发行金额仍属条件来源</t>
  </si>
  <si>
    <t>财务性投资变现安排</t>
  </si>
  <si>
    <t>确认变现时点和净回收</t>
  </si>
  <si>
    <t>不直接视同即时现金</t>
  </si>
  <si>
    <t>借款本金偿还计划</t>
  </si>
  <si>
    <t>核对利息以外的本金压力</t>
  </si>
  <si>
    <t>资金需求表未逐项列出全部本金</t>
  </si>
  <si>
    <t>授信合同和提款条件</t>
  </si>
  <si>
    <t>复核配募不足替代融资</t>
  </si>
  <si>
    <t>公开回复中的融资能力陈述不能替代合同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</si>
</sst>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%"/>
  </numFmts>
  <fonts count="23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0" fontId="2" fillId="3" borderId="1" xfId="49" applyNumberFormat="1" applyFont="1" applyFill="1" applyBorder="1" applyAlignment="1">
      <alignment horizontal="left" vertical="center" wrapText="1"/>
    </xf>
    <xf numFmtId="10" fontId="2" fillId="3" borderId="1" xfId="49" applyNumberFormat="1" applyFont="1" applyFill="1" applyBorder="1" applyAlignment="1">
      <alignment horizontal="right" vertical="center" wrapText="1"/>
    </xf>
    <xf numFmtId="4" fontId="2" fillId="3" borderId="1" xfId="49" applyNumberFormat="1" applyFont="1" applyFill="1" applyBorder="1" applyAlignment="1">
      <alignment horizontal="right" vertical="center" wrapText="1"/>
    </xf>
    <xf numFmtId="176" fontId="2" fillId="3" borderId="1" xfId="49" applyNumberFormat="1" applyFont="1" applyFill="1" applyBorder="1" applyAlignment="1">
      <alignment horizontal="right" vertical="center" wrapText="1"/>
    </xf>
    <xf numFmtId="0" fontId="2" fillId="3" borderId="1" xfId="49" applyNumberFormat="1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6" customWidth="1"/>
    <col min="2" max="2" width="34" customWidth="1"/>
    <col min="3" max="3" width="24" customWidth="1"/>
    <col min="4" max="4" width="9" customWidth="1"/>
    <col min="5" max="5" width="28" customWidth="1"/>
    <col min="6" max="6" width="50" customWidth="1"/>
    <col min="7" max="7" width="52" customWidth="1"/>
  </cols>
  <sheetData>
    <row r="1" ht="3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customHeight="1" spans="1:7">
      <c r="A2" s="6">
        <v>1</v>
      </c>
      <c r="B2" s="2" t="s">
        <v>7</v>
      </c>
      <c r="C2" s="4">
        <v>727776.05</v>
      </c>
      <c r="D2" s="2" t="s">
        <v>8</v>
      </c>
      <c r="E2" s="2" t="s">
        <v>9</v>
      </c>
      <c r="F2" s="2" t="s">
        <v>10</v>
      </c>
      <c r="G2" s="2" t="s">
        <v>11</v>
      </c>
    </row>
    <row r="3" ht="28" customHeight="1" spans="1:7">
      <c r="A3" s="6">
        <v>2</v>
      </c>
      <c r="B3" s="2" t="s">
        <v>12</v>
      </c>
      <c r="C3" s="4">
        <v>180683.91</v>
      </c>
      <c r="D3" s="2" t="s">
        <v>8</v>
      </c>
      <c r="E3" s="2" t="s">
        <v>9</v>
      </c>
      <c r="F3" s="2" t="s">
        <v>10</v>
      </c>
      <c r="G3" s="2" t="s">
        <v>13</v>
      </c>
    </row>
    <row r="4" ht="28" customHeight="1" spans="1:7">
      <c r="A4" s="6">
        <v>3</v>
      </c>
      <c r="B4" s="2" t="s">
        <v>14</v>
      </c>
      <c r="C4" s="4">
        <v>10907.06</v>
      </c>
      <c r="D4" s="2" t="s">
        <v>8</v>
      </c>
      <c r="E4" s="2" t="s">
        <v>9</v>
      </c>
      <c r="F4" s="2" t="s">
        <v>10</v>
      </c>
      <c r="G4" s="2" t="s">
        <v>15</v>
      </c>
    </row>
    <row r="5" ht="28" customHeight="1" spans="1:7">
      <c r="A5" s="6">
        <v>4</v>
      </c>
      <c r="B5" s="2" t="s">
        <v>16</v>
      </c>
      <c r="C5" s="4">
        <v>150000</v>
      </c>
      <c r="D5" s="2" t="s">
        <v>8</v>
      </c>
      <c r="E5" s="2" t="s">
        <v>17</v>
      </c>
      <c r="F5" s="2" t="s">
        <v>18</v>
      </c>
      <c r="G5" s="2" t="s">
        <v>19</v>
      </c>
    </row>
    <row r="6" ht="28" customHeight="1" spans="1:7">
      <c r="A6" s="6">
        <v>5</v>
      </c>
      <c r="B6" s="2" t="s">
        <v>20</v>
      </c>
      <c r="C6" s="4">
        <f>C2-C3+C4+C5</f>
        <v>707999.2</v>
      </c>
      <c r="D6" s="2" t="s">
        <v>8</v>
      </c>
      <c r="E6" s="2" t="s">
        <v>21</v>
      </c>
      <c r="F6" s="2" t="s">
        <v>18</v>
      </c>
      <c r="G6" s="2" t="s">
        <v>22</v>
      </c>
    </row>
    <row r="7" ht="28" customHeight="1" spans="1:7">
      <c r="A7" s="6">
        <v>6</v>
      </c>
      <c r="B7" s="2" t="s">
        <v>23</v>
      </c>
      <c r="C7" s="4">
        <f>C6-C5</f>
        <v>557999.2</v>
      </c>
      <c r="D7" s="2" t="s">
        <v>8</v>
      </c>
      <c r="E7" s="2" t="s">
        <v>24</v>
      </c>
      <c r="F7" s="2" t="s">
        <v>25</v>
      </c>
      <c r="G7" s="2" t="s">
        <v>26</v>
      </c>
    </row>
    <row r="8" ht="28" customHeight="1" spans="1:7">
      <c r="A8" s="6">
        <v>7</v>
      </c>
      <c r="B8" s="2" t="s">
        <v>27</v>
      </c>
      <c r="C8" s="4">
        <v>528137.21</v>
      </c>
      <c r="D8" s="2" t="s">
        <v>8</v>
      </c>
      <c r="E8" s="2" t="s">
        <v>28</v>
      </c>
      <c r="F8" s="2" t="s">
        <v>29</v>
      </c>
      <c r="G8" s="2" t="s">
        <v>30</v>
      </c>
    </row>
    <row r="9" ht="28" customHeight="1" spans="1:7">
      <c r="A9" s="6">
        <v>8</v>
      </c>
      <c r="B9" s="2" t="s">
        <v>31</v>
      </c>
      <c r="C9" s="4">
        <v>231127.7</v>
      </c>
      <c r="D9" s="2" t="s">
        <v>8</v>
      </c>
      <c r="E9" s="2" t="s">
        <v>9</v>
      </c>
      <c r="F9" s="2" t="s">
        <v>18</v>
      </c>
      <c r="G9" s="2" t="s">
        <v>32</v>
      </c>
    </row>
    <row r="10" ht="28" customHeight="1" spans="1:7">
      <c r="A10" s="6">
        <v>9</v>
      </c>
      <c r="B10" s="2" t="s">
        <v>33</v>
      </c>
      <c r="C10" s="4">
        <v>0</v>
      </c>
      <c r="D10" s="2" t="s">
        <v>8</v>
      </c>
      <c r="E10" s="2" t="s">
        <v>34</v>
      </c>
      <c r="F10" s="2" t="s">
        <v>18</v>
      </c>
      <c r="G10" s="2" t="s">
        <v>35</v>
      </c>
    </row>
    <row r="11" ht="28" customHeight="1" spans="1:7">
      <c r="A11" s="6">
        <v>10</v>
      </c>
      <c r="B11" s="2" t="s">
        <v>36</v>
      </c>
      <c r="C11" s="4">
        <v>136072.12</v>
      </c>
      <c r="D11" s="2" t="s">
        <v>8</v>
      </c>
      <c r="E11" s="2" t="s">
        <v>28</v>
      </c>
      <c r="F11" s="2" t="s">
        <v>18</v>
      </c>
      <c r="G11" s="2" t="s">
        <v>32</v>
      </c>
    </row>
    <row r="12" ht="28" customHeight="1" spans="1:7">
      <c r="A12" s="6">
        <v>11</v>
      </c>
      <c r="B12" s="2" t="s">
        <v>37</v>
      </c>
      <c r="C12" s="4">
        <v>153181.61</v>
      </c>
      <c r="D12" s="2" t="s">
        <v>8</v>
      </c>
      <c r="E12" s="2" t="s">
        <v>28</v>
      </c>
      <c r="F12" s="2" t="s">
        <v>38</v>
      </c>
      <c r="G12" s="2" t="s">
        <v>32</v>
      </c>
    </row>
    <row r="13" ht="28" customHeight="1" spans="1:7">
      <c r="A13" s="6">
        <v>12</v>
      </c>
      <c r="B13" s="2" t="s">
        <v>39</v>
      </c>
      <c r="C13" s="4">
        <v>1602295.78</v>
      </c>
      <c r="D13" s="2" t="s">
        <v>8</v>
      </c>
      <c r="E13" s="2" t="s">
        <v>28</v>
      </c>
      <c r="F13" s="2" t="s">
        <v>38</v>
      </c>
      <c r="G13" s="2" t="s">
        <v>32</v>
      </c>
    </row>
    <row r="14" ht="28" customHeight="1" spans="1:7">
      <c r="A14" s="6">
        <v>13</v>
      </c>
      <c r="B14" s="2" t="s">
        <v>40</v>
      </c>
      <c r="C14" s="4">
        <v>398164.73</v>
      </c>
      <c r="D14" s="2" t="s">
        <v>8</v>
      </c>
      <c r="E14" s="2" t="s">
        <v>28</v>
      </c>
      <c r="F14" s="2" t="s">
        <v>41</v>
      </c>
      <c r="G14" s="2" t="s">
        <v>42</v>
      </c>
    </row>
    <row r="15" ht="28" customHeight="1" spans="1:7">
      <c r="A15" s="6">
        <v>14</v>
      </c>
      <c r="B15" s="2" t="s">
        <v>43</v>
      </c>
      <c r="C15" s="4">
        <v>2457641.94</v>
      </c>
      <c r="D15" s="2" t="s">
        <v>8</v>
      </c>
      <c r="E15" s="2" t="s">
        <v>44</v>
      </c>
      <c r="F15" s="2" t="s">
        <v>18</v>
      </c>
      <c r="G15" s="2" t="s">
        <v>45</v>
      </c>
    </row>
    <row r="16" ht="28" customHeight="1" spans="1:7">
      <c r="A16" s="6">
        <v>15</v>
      </c>
      <c r="B16" s="2" t="s">
        <v>46</v>
      </c>
      <c r="C16" s="4">
        <f>SUM(C9:C14)</f>
        <v>2520841.94</v>
      </c>
      <c r="D16" s="2" t="s">
        <v>8</v>
      </c>
      <c r="E16" s="2" t="s">
        <v>21</v>
      </c>
      <c r="F16" s="2" t="s">
        <v>18</v>
      </c>
      <c r="G16" s="2" t="s">
        <v>47</v>
      </c>
    </row>
    <row r="17" ht="28" customHeight="1" spans="1:7">
      <c r="A17" s="6">
        <v>16</v>
      </c>
      <c r="B17" s="2" t="s">
        <v>48</v>
      </c>
      <c r="C17" s="4">
        <f>C16-C15</f>
        <v>63200</v>
      </c>
      <c r="D17" s="2" t="s">
        <v>8</v>
      </c>
      <c r="E17" s="2" t="s">
        <v>49</v>
      </c>
      <c r="F17" s="2" t="s">
        <v>18</v>
      </c>
      <c r="G17" s="2" t="s">
        <v>50</v>
      </c>
    </row>
    <row r="18" ht="28" customHeight="1" spans="1:7">
      <c r="A18" s="6">
        <v>17</v>
      </c>
      <c r="B18" s="2" t="s">
        <v>51</v>
      </c>
      <c r="C18" s="4">
        <v>1221505.53</v>
      </c>
      <c r="D18" s="2" t="s">
        <v>8</v>
      </c>
      <c r="E18" s="2" t="s">
        <v>44</v>
      </c>
      <c r="F18" s="2" t="s">
        <v>18</v>
      </c>
      <c r="G18" s="2" t="s">
        <v>52</v>
      </c>
    </row>
    <row r="19" ht="28" customHeight="1" spans="1:7">
      <c r="A19" s="6">
        <v>18</v>
      </c>
      <c r="B19" s="2" t="s">
        <v>53</v>
      </c>
      <c r="C19" s="4">
        <f>C16-C6-C8</f>
        <v>1284705.53</v>
      </c>
      <c r="D19" s="2" t="s">
        <v>8</v>
      </c>
      <c r="E19" s="2" t="s">
        <v>24</v>
      </c>
      <c r="F19" s="2" t="s">
        <v>18</v>
      </c>
      <c r="G19" s="2" t="s">
        <v>54</v>
      </c>
    </row>
    <row r="20" ht="28" customHeight="1" spans="1:7">
      <c r="A20" s="6">
        <v>19</v>
      </c>
      <c r="B20" s="2" t="s">
        <v>55</v>
      </c>
      <c r="C20" s="4">
        <f>C15-C6-C8</f>
        <v>1221505.53</v>
      </c>
      <c r="D20" s="2" t="s">
        <v>8</v>
      </c>
      <c r="E20" s="2" t="s">
        <v>21</v>
      </c>
      <c r="F20" s="2" t="s">
        <v>18</v>
      </c>
      <c r="G20" s="2" t="s">
        <v>56</v>
      </c>
    </row>
    <row r="21" ht="28" customHeight="1" spans="1:7">
      <c r="A21" s="6">
        <v>20</v>
      </c>
      <c r="B21" s="2" t="s">
        <v>57</v>
      </c>
      <c r="C21" s="4">
        <f>C11+C14</f>
        <v>534236.85</v>
      </c>
      <c r="D21" s="2" t="s">
        <v>8</v>
      </c>
      <c r="E21" s="2" t="s">
        <v>21</v>
      </c>
      <c r="F21" s="2" t="s">
        <v>41</v>
      </c>
      <c r="G21" s="2" t="s">
        <v>58</v>
      </c>
    </row>
    <row r="22" ht="28" customHeight="1" spans="1:7">
      <c r="A22" s="6">
        <v>21</v>
      </c>
      <c r="B22" s="2" t="s">
        <v>59</v>
      </c>
      <c r="C22" s="4">
        <v>273552.75</v>
      </c>
      <c r="D22" s="2" t="s">
        <v>8</v>
      </c>
      <c r="E22" s="2" t="s">
        <v>60</v>
      </c>
      <c r="F22" s="2" t="s">
        <v>61</v>
      </c>
      <c r="G22" s="2" t="s">
        <v>62</v>
      </c>
    </row>
    <row r="23" ht="28" customHeight="1" spans="1:7">
      <c r="A23" s="6">
        <v>22</v>
      </c>
      <c r="B23" s="2" t="s">
        <v>63</v>
      </c>
      <c r="C23" s="4">
        <f>C21-C22</f>
        <v>260684.1</v>
      </c>
      <c r="D23" s="2" t="s">
        <v>8</v>
      </c>
      <c r="E23" s="2" t="s">
        <v>24</v>
      </c>
      <c r="F23" s="2" t="s">
        <v>61</v>
      </c>
      <c r="G23" s="2" t="s">
        <v>64</v>
      </c>
    </row>
    <row r="24" ht="28" customHeight="1" spans="1:7">
      <c r="A24" s="6">
        <v>23</v>
      </c>
      <c r="B24" s="2" t="s">
        <v>65</v>
      </c>
      <c r="C24" s="4">
        <v>800000</v>
      </c>
      <c r="D24" s="2" t="s">
        <v>8</v>
      </c>
      <c r="E24" s="2" t="s">
        <v>60</v>
      </c>
      <c r="F24" s="2" t="s">
        <v>66</v>
      </c>
      <c r="G24" s="2" t="s">
        <v>67</v>
      </c>
    </row>
    <row r="25" ht="28" customHeight="1" spans="1:7">
      <c r="A25" s="6">
        <v>24</v>
      </c>
      <c r="B25" s="2" t="s">
        <v>68</v>
      </c>
      <c r="C25" s="4">
        <f>C19-C24</f>
        <v>484705.53</v>
      </c>
      <c r="D25" s="2" t="s">
        <v>8</v>
      </c>
      <c r="E25" s="2" t="s">
        <v>24</v>
      </c>
      <c r="F25" s="2" t="s">
        <v>41</v>
      </c>
      <c r="G25" s="2" t="s">
        <v>69</v>
      </c>
    </row>
    <row r="26" ht="28" customHeight="1" spans="1:7">
      <c r="A26" s="6">
        <v>25</v>
      </c>
      <c r="B26" s="2" t="s">
        <v>70</v>
      </c>
      <c r="C26" s="4">
        <f>C19+C5-C24</f>
        <v>634705.53</v>
      </c>
      <c r="D26" s="2" t="s">
        <v>8</v>
      </c>
      <c r="E26" s="2" t="s">
        <v>24</v>
      </c>
      <c r="F26" s="2" t="s">
        <v>41</v>
      </c>
      <c r="G26" s="2" t="s">
        <v>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40" customWidth="1"/>
    <col min="2" max="2" width="26" customWidth="1"/>
    <col min="3" max="3" width="10" customWidth="1"/>
    <col min="4" max="4" width="58" customWidth="1"/>
    <col min="5" max="5" width="65" customWidth="1"/>
  </cols>
  <sheetData>
    <row r="1" ht="34" customHeight="1" spans="1:5">
      <c r="A1" s="1" t="s">
        <v>1</v>
      </c>
      <c r="B1" s="1" t="s">
        <v>72</v>
      </c>
      <c r="C1" s="1" t="s">
        <v>3</v>
      </c>
      <c r="D1" s="1" t="s">
        <v>5</v>
      </c>
      <c r="E1" s="1" t="s">
        <v>73</v>
      </c>
    </row>
    <row r="2" ht="28" customHeight="1" spans="1:5">
      <c r="A2" s="2" t="s">
        <v>74</v>
      </c>
      <c r="B2" s="3">
        <v>0.1669</v>
      </c>
      <c r="C2" s="2" t="s">
        <v>75</v>
      </c>
      <c r="D2" s="2" t="s">
        <v>76</v>
      </c>
      <c r="E2" s="2" t="s">
        <v>77</v>
      </c>
    </row>
    <row r="3" ht="28" customHeight="1" spans="1:5">
      <c r="A3" s="2" t="s">
        <v>78</v>
      </c>
      <c r="B3" s="4">
        <v>2130643.24</v>
      </c>
      <c r="C3" s="2" t="s">
        <v>8</v>
      </c>
      <c r="D3" s="2" t="s">
        <v>76</v>
      </c>
      <c r="E3" s="2" t="s">
        <v>79</v>
      </c>
    </row>
    <row r="4" ht="28" customHeight="1" spans="1:5">
      <c r="A4" s="2" t="s">
        <v>80</v>
      </c>
      <c r="B4" s="4">
        <v>2486151.3</v>
      </c>
      <c r="C4" s="2" t="s">
        <v>8</v>
      </c>
      <c r="D4" s="2" t="s">
        <v>76</v>
      </c>
      <c r="E4" s="2" t="s">
        <v>30</v>
      </c>
    </row>
    <row r="5" ht="28" customHeight="1" spans="1:5">
      <c r="A5" s="2" t="s">
        <v>81</v>
      </c>
      <c r="B5" s="4">
        <v>2900977.59</v>
      </c>
      <c r="C5" s="2" t="s">
        <v>8</v>
      </c>
      <c r="D5" s="2" t="s">
        <v>76</v>
      </c>
      <c r="E5" s="2" t="s">
        <v>30</v>
      </c>
    </row>
    <row r="6" ht="28" customHeight="1" spans="1:5">
      <c r="A6" s="2" t="s">
        <v>82</v>
      </c>
      <c r="B6" s="4">
        <v>3385019.64</v>
      </c>
      <c r="C6" s="2" t="s">
        <v>8</v>
      </c>
      <c r="D6" s="2" t="s">
        <v>76</v>
      </c>
      <c r="E6" s="2" t="s">
        <v>30</v>
      </c>
    </row>
    <row r="7" ht="28" customHeight="1" spans="1:5">
      <c r="A7" s="2" t="s">
        <v>83</v>
      </c>
      <c r="B7" s="4">
        <f>SUM(B4:B6)</f>
        <v>8772148.53</v>
      </c>
      <c r="C7" s="2" t="s">
        <v>8</v>
      </c>
      <c r="D7" s="2" t="s">
        <v>76</v>
      </c>
      <c r="E7" s="2" t="s">
        <v>84</v>
      </c>
    </row>
    <row r="8" ht="28" customHeight="1" spans="1:5">
      <c r="A8" s="2" t="s">
        <v>85</v>
      </c>
      <c r="B8" s="3">
        <v>0.0602</v>
      </c>
      <c r="C8" s="2" t="s">
        <v>75</v>
      </c>
      <c r="D8" s="2" t="s">
        <v>29</v>
      </c>
      <c r="E8" s="2" t="s">
        <v>86</v>
      </c>
    </row>
    <row r="9" ht="28" customHeight="1" spans="1:5">
      <c r="A9" s="2" t="s">
        <v>87</v>
      </c>
      <c r="B9" s="4">
        <f>B7*B8</f>
        <v>528083.341506</v>
      </c>
      <c r="C9" s="2" t="s">
        <v>8</v>
      </c>
      <c r="D9" s="2" t="s">
        <v>76</v>
      </c>
      <c r="E9" s="2" t="s">
        <v>88</v>
      </c>
    </row>
    <row r="10" ht="28" customHeight="1" spans="1:5">
      <c r="A10" s="2" t="s">
        <v>89</v>
      </c>
      <c r="B10" s="4">
        <v>528137.21</v>
      </c>
      <c r="C10" s="2" t="s">
        <v>8</v>
      </c>
      <c r="D10" s="2" t="s">
        <v>76</v>
      </c>
      <c r="E10" s="2" t="s">
        <v>44</v>
      </c>
    </row>
    <row r="11" ht="28" customHeight="1" spans="1:5">
      <c r="A11" s="2" t="s">
        <v>90</v>
      </c>
      <c r="B11" s="4">
        <f>B10-B9</f>
        <v>53.868494000053</v>
      </c>
      <c r="C11" s="2" t="s">
        <v>8</v>
      </c>
      <c r="D11" s="2" t="s">
        <v>76</v>
      </c>
      <c r="E11" s="2" t="s">
        <v>91</v>
      </c>
    </row>
    <row r="12" ht="28" customHeight="1" spans="1:5">
      <c r="A12" s="2" t="s">
        <v>92</v>
      </c>
      <c r="B12" s="5">
        <f>B10/B7</f>
        <v>0.0602061408552096</v>
      </c>
      <c r="C12" s="2" t="s">
        <v>75</v>
      </c>
      <c r="D12" s="2" t="s">
        <v>76</v>
      </c>
      <c r="E12" s="2" t="s">
        <v>93</v>
      </c>
    </row>
    <row r="13" ht="28" customHeight="1" spans="1:5">
      <c r="A13" s="2" t="s">
        <v>94</v>
      </c>
      <c r="B13" s="4">
        <f>B3*(1+B2)</f>
        <v>2486247.596756</v>
      </c>
      <c r="C13" s="2" t="s">
        <v>8</v>
      </c>
      <c r="D13" s="2" t="s">
        <v>76</v>
      </c>
      <c r="E13" s="2" t="s">
        <v>95</v>
      </c>
    </row>
    <row r="14" ht="28" customHeight="1" spans="1:5">
      <c r="A14" s="2" t="s">
        <v>96</v>
      </c>
      <c r="B14" s="5">
        <f>B4/B3-1</f>
        <v>0.166854803904195</v>
      </c>
      <c r="C14" s="2" t="s">
        <v>75</v>
      </c>
      <c r="D14" s="2" t="s">
        <v>76</v>
      </c>
      <c r="E14" s="2" t="s">
        <v>97</v>
      </c>
    </row>
    <row r="15" ht="28" customHeight="1" spans="1:5">
      <c r="A15" s="2" t="s">
        <v>98</v>
      </c>
      <c r="B15" s="4">
        <v>526447.25</v>
      </c>
      <c r="C15" s="2" t="s">
        <v>8</v>
      </c>
      <c r="D15" s="2" t="s">
        <v>99</v>
      </c>
      <c r="E15" s="2" t="s">
        <v>9</v>
      </c>
    </row>
    <row r="16" ht="28" customHeight="1" spans="1:5">
      <c r="A16" s="2" t="s">
        <v>100</v>
      </c>
      <c r="B16" s="4">
        <v>132148.53</v>
      </c>
      <c r="C16" s="2" t="s">
        <v>8</v>
      </c>
      <c r="D16" s="2" t="s">
        <v>99</v>
      </c>
      <c r="E16" s="2" t="s">
        <v>9</v>
      </c>
    </row>
    <row r="17" ht="28" customHeight="1" spans="1:5">
      <c r="A17" s="2" t="s">
        <v>101</v>
      </c>
      <c r="B17" s="4">
        <v>943700</v>
      </c>
      <c r="C17" s="2" t="s">
        <v>8</v>
      </c>
      <c r="D17" s="2" t="s">
        <v>99</v>
      </c>
      <c r="E17" s="2" t="s">
        <v>9</v>
      </c>
    </row>
    <row r="18" ht="28" customHeight="1" spans="1:5">
      <c r="A18" s="2" t="s">
        <v>102</v>
      </c>
      <c r="B18" s="4">
        <f>SUM(B15:B17)</f>
        <v>1602295.78</v>
      </c>
      <c r="C18" s="2" t="s">
        <v>8</v>
      </c>
      <c r="D18" s="2" t="s">
        <v>99</v>
      </c>
      <c r="E18" s="2" t="s">
        <v>103</v>
      </c>
    </row>
    <row r="19" ht="28" customHeight="1" spans="1:5">
      <c r="A19" s="2" t="s">
        <v>104</v>
      </c>
      <c r="B19" s="4">
        <v>101834</v>
      </c>
      <c r="C19" s="2" t="s">
        <v>8</v>
      </c>
      <c r="D19" s="2" t="s">
        <v>61</v>
      </c>
      <c r="E19" s="2" t="s">
        <v>9</v>
      </c>
    </row>
    <row r="20" ht="28" customHeight="1" spans="1:5">
      <c r="A20" s="2" t="s">
        <v>105</v>
      </c>
      <c r="B20" s="4">
        <v>37411.86</v>
      </c>
      <c r="C20" s="2" t="s">
        <v>8</v>
      </c>
      <c r="D20" s="2" t="s">
        <v>61</v>
      </c>
      <c r="E20" s="2" t="s">
        <v>9</v>
      </c>
    </row>
    <row r="21" ht="28" customHeight="1" spans="1:5">
      <c r="A21" s="2" t="s">
        <v>106</v>
      </c>
      <c r="B21" s="4">
        <v>6834.74</v>
      </c>
      <c r="C21" s="2" t="s">
        <v>8</v>
      </c>
      <c r="D21" s="2" t="s">
        <v>61</v>
      </c>
      <c r="E21" s="2" t="s">
        <v>9</v>
      </c>
    </row>
    <row r="22" ht="28" customHeight="1" spans="1:5">
      <c r="A22" s="2" t="s">
        <v>107</v>
      </c>
      <c r="B22" s="4">
        <v>94.66</v>
      </c>
      <c r="C22" s="2" t="s">
        <v>8</v>
      </c>
      <c r="D22" s="2" t="s">
        <v>61</v>
      </c>
      <c r="E22" s="2" t="s">
        <v>108</v>
      </c>
    </row>
    <row r="23" ht="28" customHeight="1" spans="1:5">
      <c r="A23" s="2" t="s">
        <v>109</v>
      </c>
      <c r="B23" s="4">
        <v>251989.47</v>
      </c>
      <c r="C23" s="2" t="s">
        <v>8</v>
      </c>
      <c r="D23" s="2" t="s">
        <v>61</v>
      </c>
      <c r="E23" s="2" t="s">
        <v>110</v>
      </c>
    </row>
    <row r="24" ht="28" customHeight="1" spans="1:5">
      <c r="A24" s="2" t="s">
        <v>111</v>
      </c>
      <c r="B24" s="4">
        <f>SUM(B19:B23)</f>
        <v>398164.73</v>
      </c>
      <c r="C24" s="2" t="s">
        <v>8</v>
      </c>
      <c r="D24" s="2" t="s">
        <v>61</v>
      </c>
      <c r="E24" s="2" t="s">
        <v>103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2"/>
  <cols>
    <col min="1" max="1" width="43" customWidth="1"/>
    <col min="2" max="2" width="64" customWidth="1"/>
    <col min="3" max="3" width="67" customWidth="1"/>
  </cols>
  <sheetData>
    <row r="1" ht="34" customHeight="1" spans="1:3">
      <c r="A1" s="1" t="s">
        <v>112</v>
      </c>
      <c r="B1" s="1" t="s">
        <v>113</v>
      </c>
      <c r="C1" s="1" t="s">
        <v>114</v>
      </c>
    </row>
    <row r="2" ht="28" customHeight="1" spans="1:3">
      <c r="A2" s="2" t="s">
        <v>115</v>
      </c>
      <c r="B2" s="2" t="s">
        <v>116</v>
      </c>
      <c r="C2" s="2" t="s">
        <v>117</v>
      </c>
    </row>
    <row r="3" ht="28" customHeight="1" spans="1:3">
      <c r="A3" s="2" t="s">
        <v>118</v>
      </c>
      <c r="B3" s="2" t="s">
        <v>119</v>
      </c>
      <c r="C3" s="2" t="s">
        <v>120</v>
      </c>
    </row>
    <row r="4" ht="28" customHeight="1" spans="1:3">
      <c r="A4" s="2" t="s">
        <v>121</v>
      </c>
      <c r="B4" s="2" t="s">
        <v>122</v>
      </c>
      <c r="C4" s="2" t="s">
        <v>123</v>
      </c>
    </row>
    <row r="5" ht="28" customHeight="1" spans="1:3">
      <c r="A5" s="2" t="s">
        <v>124</v>
      </c>
      <c r="B5" s="2" t="s">
        <v>125</v>
      </c>
      <c r="C5" s="2" t="s">
        <v>126</v>
      </c>
    </row>
    <row r="6" ht="28" customHeight="1" spans="1:3">
      <c r="A6" s="2" t="s">
        <v>127</v>
      </c>
      <c r="B6" s="2" t="s">
        <v>128</v>
      </c>
      <c r="C6" s="2" t="s">
        <v>129</v>
      </c>
    </row>
    <row r="7" ht="28" customHeight="1" spans="1:3">
      <c r="A7" s="2" t="s">
        <v>130</v>
      </c>
      <c r="B7" s="2" t="s">
        <v>131</v>
      </c>
      <c r="C7" s="2" t="s">
        <v>132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资金需求</vt:lpstr>
      <vt:lpstr>参数复算</vt:lpstr>
      <vt:lpstr>追加资料</vt:lpstr>
    </vt:vector>
  </TitlesOfParts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FD5F305EB4E4466F8B78773CB353BF05_12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