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补充材料清单" sheetId="1" state="visible" r:id="rId3"/>
    <sheet name="核算" sheetId="2" state="visible" r:id="rId4"/>
  </sheets>
  <calcPr iterateCount="100" refMode="A1" iterate="false" iterateDelta="0.0001"/>
  <extLst>
    <ext uri="{7626C862-2A13-11E5-B345-FEFF819CDC9F}"/>
  </extLst>
</workbook>
</file>

<file path=xl/sharedStrings.xml><?xml version="1.0" encoding="utf-8"?>
<sst xmlns="http://schemas.openxmlformats.org/spreadsheetml/2006/main" count="282" uniqueCount="218">
  <si>
    <t xml:space="preserve">需临床科室补充的材料清单（樊某某医保审核疑点，药学部汇总）</t>
  </si>
  <si>
    <t xml:space="preserve">说明：本清单汇总《医保审核疑点逐药药学说明》各节所需补充的材料，“用途”栏的Y号指该说明第二节逐药条目，Z号指《支付范围自查表》行号；“截止前是否必须”指申诉系统关闭前是否必须到位。现状栏：未载＝随件病历中查不到；记载不一＝两份病历写法不同；时点不明＝有记载但无日期。</t>
  </si>
  <si>
    <t xml:space="preserve">编号</t>
  </si>
  <si>
    <t xml:space="preserve">材料名称</t>
  </si>
  <si>
    <t xml:space="preserve">用途（对应说明条目）</t>
  </si>
  <si>
    <t xml:space="preserve">现状</t>
  </si>
  <si>
    <t xml:space="preserve">建议提供科室</t>
  </si>
  <si>
    <t xml:space="preserve">截止前是否必须</t>
  </si>
  <si>
    <t xml:space="preserve">调取说明</t>
  </si>
  <si>
    <t xml:space="preserve">B01</t>
  </si>
  <si>
    <t xml:space="preserve">复方磺胺甲噁唑片住院期间及门诊随访期间的实际发药片数、每次服用片数与处方记录</t>
  </si>
  <si>
    <t xml:space="preserve">Y1用法用量：核“0.8 g每日4次”是否即每次2片、日剂量是否为说明书细菌感染方案的2倍；随访期用量</t>
  </si>
  <si>
    <t xml:space="preserve">未载（病历只写“0.8 g”，门诊处方未随件）</t>
  </si>
  <si>
    <t xml:space="preserve">结算/财务（计费明细）；肾内科（门诊处方）</t>
  </si>
  <si>
    <t xml:space="preserve">是</t>
  </si>
  <si>
    <t xml:space="preserve">按结算日期导出该药数量、单位与金额；门诊处方调出每次片数</t>
  </si>
  <si>
    <t xml:space="preserve">B02</t>
  </si>
  <si>
    <t xml:space="preserve">利奈唑胺葡萄糖注射液实际使用的品规、每次给药量（以mg还是ml计）及发药、计费数量</t>
  </si>
  <si>
    <t xml:space="preserve">Y2用法用量：“300 mg每日2次”所指不明，按规格可能是300 mg（推荐量一半），也可能是300 ml（600 mg）</t>
  </si>
  <si>
    <t xml:space="preserve">未载（品规与单位所指病历未写）</t>
  </si>
  <si>
    <t xml:space="preserve">结算/财务；肾内科（医嘱单）</t>
  </si>
  <si>
    <t xml:space="preserve">调出长期医嘱单原件与计费明细，核对每次计费的瓶数与规格</t>
  </si>
  <si>
    <t xml:space="preserve">B03</t>
  </si>
  <si>
    <t xml:space="preserve">利奈唑胺葡萄糖注射液停用医嘱日期、计费天数（含出院后是否续用及续用的剂型）</t>
  </si>
  <si>
    <t xml:space="preserve">Y2疗程：用至2024-08-26及以后即超出说明书已评价的28天；系统报“疗程与说明书不符”</t>
  </si>
  <si>
    <t xml:space="preserve">未载（病程至08-02无停药记载，出院日期与出院带药栏遮盖、无法核实）</t>
  </si>
  <si>
    <t xml:space="preserve">肾内科（医嘱单）；结算/财务</t>
  </si>
  <si>
    <t xml:space="preserve">以计费起止日为准；出院后改口服的，一并提供门诊处方</t>
  </si>
  <si>
    <t xml:space="preserve">B04</t>
  </si>
  <si>
    <t xml:space="preserve">利奈唑胺用药期间的血常规（含血小板）结果；入院血常规的采样日期；红细胞输注的日期与输注前血红蛋白</t>
  </si>
  <si>
    <t xml:space="preserve">Y2及第三节（4）：说明书要求用药期间每周全血细胞计数，用药前已有贫血线索</t>
  </si>
  <si>
    <t xml:space="preserve">未载（全部材料只有入院血常规一次，不含血小板，采样时间与参考区间栏遮盖、无法核实）</t>
  </si>
  <si>
    <t xml:space="preserve">检验科；肾内科（输血记录）</t>
  </si>
  <si>
    <t xml:space="preserve">按日期调出07-29以后全部血常规；输血记录单</t>
  </si>
  <si>
    <t xml:space="preserve">B05</t>
  </si>
  <si>
    <t xml:space="preserve">美罗培南的医嘱（起止日期、剂量、给药途径）与计费记录</t>
  </si>
  <si>
    <t xml:space="preserve">第三节（5）：美罗培南只见于出院记录与情况说明的事后总结句，逐日病程（至08-02）无医嘱</t>
  </si>
  <si>
    <t xml:space="preserve">记载不一（总结句载有，逐日病程无）</t>
  </si>
  <si>
    <t xml:space="preserve">如确无计费，情况说明与申诉材料中删去该药；如有，补齐医嘱后另行评估</t>
  </si>
  <si>
    <t xml:space="preserve">B06</t>
  </si>
  <si>
    <t xml:space="preserve">出院日期、出院医嘱与出院带药</t>
  </si>
  <si>
    <t xml:space="preserve">Y2、Y4、第三节：多种药物止日与出院后用药无从判断</t>
  </si>
  <si>
    <t xml:space="preserve">未载（出院记录出院日期、住院天数、出院医嘱栏遮盖、无法核实）</t>
  </si>
  <si>
    <t xml:space="preserve">病案室；肾内科</t>
  </si>
  <si>
    <t xml:space="preserve">调取已归档出院记录完整版</t>
  </si>
  <si>
    <t xml:space="preserve">B07</t>
  </si>
  <si>
    <t xml:space="preserve">他克莫司胶囊起用日期、各次处方剂量，以及全部他克莫司全血谷浓度检测结果</t>
  </si>
  <si>
    <t xml:space="preserve">Y3及第三节（1）（2）：起用有“抗感染治疗1个月后”“感染控制1个月后”两种写法；科室称“定期进行血药浓度监测”但无结果</t>
  </si>
  <si>
    <t xml:space="preserve">未载（起用日）；记载不一（起算口径）；未载（浓度结果）</t>
  </si>
  <si>
    <t xml:space="preserve">肾内科（门诊）；检验科</t>
  </si>
  <si>
    <t xml:space="preserve">门诊处方记录与检验系统按日期导出</t>
  </si>
  <si>
    <t xml:space="preserve">B08</t>
  </si>
  <si>
    <t xml:space="preserve">他克莫司用药期间的血钾、血肌酐（肾功能）结果</t>
  </si>
  <si>
    <t xml:space="preserve">第三节（1）：他克莫司说明书对与复方新诺明同用要求密切监测血钾、全程监测肾功能</t>
  </si>
  <si>
    <t xml:space="preserve">未载（全部材料无血钾；肌酐只有入院一次65 μmol/L，在他克莫司起用前）</t>
  </si>
  <si>
    <t xml:space="preserve">检验科；肾内科（门诊）</t>
  </si>
  <si>
    <t xml:space="preserve">按他克莫司起用日前后导出</t>
  </si>
  <si>
    <t xml:space="preserve">B09</t>
  </si>
  <si>
    <t xml:space="preserve">他克莫司用药期间血小板、溶血相关指标、肾功能变化等检查记录</t>
  </si>
  <si>
    <t xml:space="preserve">Y3说明书核对：肾活检已有“TMA样病变”，他克莫司说明书列有血栓性微血管病条目</t>
  </si>
  <si>
    <t xml:space="preserve">未载</t>
  </si>
  <si>
    <t xml:space="preserve">检验科；肾内科</t>
  </si>
  <si>
    <t xml:space="preserve">否</t>
  </si>
  <si>
    <t xml:space="preserve">无此类检查的，如实回复“未查”</t>
  </si>
  <si>
    <t xml:space="preserve">B10</t>
  </si>
  <si>
    <t xml:space="preserve">伊曲康唑胶囊的剂量、频次与停用日期</t>
  </si>
  <si>
    <t xml:space="preserve">Y4及第三节（2）（3）：与他克莫司、氨氯地平是否同期取决于停用日</t>
  </si>
  <si>
    <t xml:space="preserve">未载（病程08-02只写“加用伊曲康唑胶囊”）</t>
  </si>
  <si>
    <t xml:space="preserve">医嘱单与计费起止</t>
  </si>
  <si>
    <t xml:space="preserve">B11</t>
  </si>
  <si>
    <t xml:space="preserve">厄贝沙坦片、苯磺酸氨氯地平片（及入院前沙库巴曲缬沙坦钠片）住院期间起止日期与出院后是否继续</t>
  </si>
  <si>
    <t xml:space="preserve">第三节（1）（3）：与他克莫司、伊曲康唑是否同期</t>
  </si>
  <si>
    <t xml:space="preserve">未载（出院记录只写剂量频次，未写起止，出院带药栏遮盖、无法核实）</t>
  </si>
  <si>
    <t xml:space="preserve">肾内科；病案室</t>
  </si>
  <si>
    <t xml:space="preserve">医嘱单；门诊处方</t>
  </si>
  <si>
    <t xml:space="preserve">B12</t>
  </si>
  <si>
    <t xml:space="preserve">心功能评估资料（心脏超声等）及伊曲康唑用药期间的心衰体征观察记录</t>
  </si>
  <si>
    <t xml:space="preserve">第三节（3）：伊曲康唑说明书把“其他水肿性疾病”列为充血性心力衰竭危险因素，要求告知并监测</t>
  </si>
  <si>
    <t xml:space="preserve">未载（只有心电图：窦性心律、完全性右束支传导阻滞）</t>
  </si>
  <si>
    <t xml:space="preserve">肾内科</t>
  </si>
  <si>
    <t xml:space="preserve">未做的如实说明</t>
  </si>
  <si>
    <t xml:space="preserve">B13</t>
  </si>
  <si>
    <t xml:space="preserve">泼尼松足量（50 mg）实际起始日、持续时间、减量过程，以及2024年4月至6月实际服药情况；入院时泼尼松剂量</t>
  </si>
  <si>
    <t xml:space="preserve">Y3临床依据：激素使用时长两份病历记载不一（“4个月”与“3个月”），起药日未载</t>
  </si>
  <si>
    <t xml:space="preserve">记载不一；未载</t>
  </si>
  <si>
    <t xml:space="preserve">肾内科（向滦溪县人民医院调取外院医嘱或处方）</t>
  </si>
  <si>
    <t xml:space="preserve">外院出院记录只写“醋酸泼尼松片50 mg口服”，需原始医嘱</t>
  </si>
  <si>
    <t xml:space="preserve">B14</t>
  </si>
  <si>
    <t xml:space="preserve">复方磺胺甲噁唑片、利奈唑胺、他克莫司、伊曲康唑超说明书用药的院内审批或备案记录，以及患者知情同意书</t>
  </si>
  <si>
    <t xml:space="preserve">Y1–Y4及第四节：申诉材料需如实写明超说明书事实并附这两类材料</t>
  </si>
  <si>
    <t xml:space="preserve">未载（随件材料中未见）</t>
  </si>
  <si>
    <t xml:space="preserve">肾内科；医务管理部门；药事管理委员会办公室</t>
  </si>
  <si>
    <t xml:space="preserve">无审批或无知情同意的，如实告知医保办，不补签</t>
  </si>
  <si>
    <t xml:space="preserve">B15</t>
  </si>
  <si>
    <t xml:space="preserve">头孢他啶胸腔灌注的医嘱、操作记录（穿刺日期、次数）及采用该途径的依据</t>
  </si>
  <si>
    <t xml:space="preserve">Y5：说明书给药途径只有静脉注射或静脉滴注</t>
  </si>
  <si>
    <t xml:space="preserve">未载（病程只写“胸腔穿刺后，今日予头孢他啶1 g胸腔灌注”）</t>
  </si>
  <si>
    <t xml:space="preserve">肾内科；抗菌药物管理工作组</t>
  </si>
  <si>
    <t xml:space="preserve">建议认扣；科室如坚持申诉须提供依据</t>
  </si>
  <si>
    <t xml:space="preserve">B16</t>
  </si>
  <si>
    <t xml:space="preserve">盐酸莫西沙星注射用药的实际结算品规与医保编码（莫西沙星注射剂或莫西沙星氯化钠注射剂）</t>
  </si>
  <si>
    <t xml:space="preserve">Z06：目录两行一有限定一无限定，按病历品名对应限定行</t>
  </si>
  <si>
    <t xml:space="preserve">未载（疑点汇总未附明细）</t>
  </si>
  <si>
    <t xml:space="preserve">结算/财务</t>
  </si>
  <si>
    <t xml:space="preserve">结算系统导出药品编码</t>
  </si>
  <si>
    <t xml:space="preserve">B17</t>
  </si>
  <si>
    <t xml:space="preserve">静注人免疫球蛋白、胸腺法新的结算名称、品规、数量；参保人险种及有无工伤认定</t>
  </si>
  <si>
    <t xml:space="preserve">Z08、Z09：前者有限定支付范围，后者限工伤保险</t>
  </si>
  <si>
    <t xml:space="preserve">结算/财务；医保办</t>
  </si>
  <si>
    <t xml:space="preserve">工伤认定材料病历中未见，不能据“近期于某工地工作”推定</t>
  </si>
  <si>
    <t xml:space="preserve">B18</t>
  </si>
  <si>
    <t xml:space="preserve">豚鼠耳炎诺卡菌的药物敏感性试验报告</t>
  </si>
  <si>
    <t xml:space="preserve">Y1、Y2：说明书要求治疗细菌感染参考药敏结果；Z06莫西沙星限定以药敏为前提</t>
  </si>
  <si>
    <t xml:space="preserve">未载（胸水、脓液培养单均只有菌名与菌落计数）</t>
  </si>
  <si>
    <t xml:space="preserve">检验科（微生物室）</t>
  </si>
  <si>
    <t xml:space="preserve">B19</t>
  </si>
  <si>
    <t xml:space="preserve">继发性FSGS排查中艾滋病病毒以外的病毒学检测及遗传学检测结果</t>
  </si>
  <si>
    <t xml:space="preserve">Y3临床依据：KDIGO以排除其他可识别病因为原发性FSGS诊断前提</t>
  </si>
  <si>
    <t xml:space="preserve">未载（首次病程鉴别诊断只列艾滋病病毒检测阴性）</t>
  </si>
  <si>
    <t xml:space="preserve">肾内科；检验科</t>
  </si>
  <si>
    <t xml:space="preserve">未做的如实说明，不影响超适应证结论</t>
  </si>
  <si>
    <t xml:space="preserve">B20</t>
  </si>
  <si>
    <t xml:space="preserve">金黄膏（前臂脓肿处外用）的医嘱、结算名称，以及是否为医疗机构制剂</t>
  </si>
  <si>
    <t xml:space="preserve">Z16：目录中未检出“金黄膏”，中成药部分只有名称与剂型不同的如意金黄散</t>
  </si>
  <si>
    <t xml:space="preserve">未载（出院记录只写“金黄膏前臂脓肿处外用”）</t>
  </si>
  <si>
    <t xml:space="preserve">外科（切开引流后换药医嘱）；结算/财务</t>
  </si>
  <si>
    <t xml:space="preserve">属医疗机构制剂的，按本省规定另核支付范围</t>
  </si>
  <si>
    <t xml:space="preserve">合计条数</t>
  </si>
  <si>
    <t xml:space="preserve">截止前必须</t>
  </si>
  <si>
    <t xml:space="preserve">核算（用量换算、日期与时长；数值均由公式得出）</t>
  </si>
  <si>
    <t xml:space="preserve">项目</t>
  </si>
  <si>
    <t xml:space="preserve">数值</t>
  </si>
  <si>
    <t xml:space="preserve">单位</t>
  </si>
  <si>
    <t xml:space="preserve">出处或计算说明</t>
  </si>
  <si>
    <t xml:space="preserve">复方磺胺甲噁唑片：每片磺胺甲噁唑含量</t>
  </si>
  <si>
    <t xml:space="preserve">g</t>
  </si>
  <si>
    <t xml:space="preserve">复方磺胺甲噁唑片说明书（2024年修订）第1页【成份】“每片含活性成分磺胺甲噁唑0.4g和甲氧苄啶0.08g”</t>
  </si>
  <si>
    <t xml:space="preserve">复方磺胺甲噁唑片：每片甲氧苄啶含量</t>
  </si>
  <si>
    <t xml:space="preserve">同上</t>
  </si>
  <si>
    <t xml:space="preserve">病历记载每次量（按磺胺甲噁唑含量读）</t>
  </si>
  <si>
    <t xml:space="preserve">病程记录（2024-07-23至2024-08-02）第1页2024-07-29条“复方磺胺甲噁唑片0.8 g每日4次”</t>
  </si>
  <si>
    <t xml:space="preserve">病历记载每日次数</t>
  </si>
  <si>
    <t xml:space="preserve">次</t>
  </si>
  <si>
    <t xml:space="preserve">每次折合片数</t>
  </si>
  <si>
    <t xml:space="preserve">片</t>
  </si>
  <si>
    <t xml:space="preserve">每次量÷每片磺胺甲噁唑含量</t>
  </si>
  <si>
    <t xml:space="preserve">病历日剂量：磺胺甲噁唑</t>
  </si>
  <si>
    <t xml:space="preserve">每次量×每日次数</t>
  </si>
  <si>
    <t xml:space="preserve">病历日剂量：甲氧苄啶</t>
  </si>
  <si>
    <t xml:space="preserve">mg</t>
  </si>
  <si>
    <t xml:space="preserve">片数×每片甲氧苄啶×每日次数</t>
  </si>
  <si>
    <t xml:space="preserve">说明书成人治疗细菌性感染：每次磺胺甲噁唑</t>
  </si>
  <si>
    <t xml:space="preserve">复方磺胺甲噁唑片说明书（2024年修订）第1页【用法用量】“一次甲氧苄啶160mg和磺胺甲噁唑800mg，每12小时服用1次”</t>
  </si>
  <si>
    <t xml:space="preserve">说明书成人治疗细菌性感染：每次甲氧苄啶</t>
  </si>
  <si>
    <t xml:space="preserve">说明书每日次数（每12小时1次）</t>
  </si>
  <si>
    <t xml:space="preserve">24小时÷给药间隔12小时</t>
  </si>
  <si>
    <t xml:space="preserve">说明书日剂量：磺胺甲噁唑</t>
  </si>
  <si>
    <t xml:space="preserve">—</t>
  </si>
  <si>
    <t xml:space="preserve">说明书日剂量：甲氧苄啶</t>
  </si>
  <si>
    <t xml:space="preserve">病历日剂量为说明书细菌感染日剂量的倍数</t>
  </si>
  <si>
    <t xml:space="preserve">倍</t>
  </si>
  <si>
    <t xml:space="preserve">磺胺甲噁唑日剂量之比；甲氧苄啶之比相同</t>
  </si>
  <si>
    <t xml:space="preserve">每片复方合计含量（磺胺甲噁唑＋甲氧苄啶）</t>
  </si>
  <si>
    <t xml:space="preserve">用于检验“0.8 g为复方总量”的另一种读法</t>
  </si>
  <si>
    <t xml:space="preserve">若0.8 g按复方总量读，每次折合片数</t>
  </si>
  <si>
    <t xml:space="preserve">不成整片，该读法不自洽</t>
  </si>
  <si>
    <t xml:space="preserve">利奈唑胺葡萄糖注射液：每100 ml含利奈唑胺</t>
  </si>
  <si>
    <t xml:space="preserve">利奈唑胺葡萄糖注射液说明书（2017年修订）第1页（影印件）左起第一栏【规格】“100ml：利奈唑胺0.2g”</t>
  </si>
  <si>
    <t xml:space="preserve">利奈唑胺浓度</t>
  </si>
  <si>
    <t xml:space="preserve">mg/ml</t>
  </si>
  <si>
    <t xml:space="preserve">病历记载每次量（“300 mg每日2次”）</t>
  </si>
  <si>
    <t xml:space="preserve">病程记录（2024-07-23至2024-08-02）第1页2024-07-29条</t>
  </si>
  <si>
    <t xml:space="preserve">说明书成人每次推荐量（每12小时）</t>
  </si>
  <si>
    <t xml:space="preserve">利奈唑胺葡萄糖注射液说明书（2017年修订）第1页表1“成人和青少年……每12小时，600mg”</t>
  </si>
  <si>
    <t xml:space="preserve">病历每次量占推荐单次量的比例（按mg读）</t>
  </si>
  <si>
    <t xml:space="preserve">若“300”为输注容量（ml），折合利奈唑胺</t>
  </si>
  <si>
    <t xml:space="preserve">300 ml×浓度；病历未写单位所指与品规，两种读法都不能排除</t>
  </si>
  <si>
    <t xml:space="preserve">利奈唑胺起用日</t>
  </si>
  <si>
    <t xml:space="preserve">日期</t>
  </si>
  <si>
    <t xml:space="preserve">病程记录2024-07-29条；止日病历未载</t>
  </si>
  <si>
    <t xml:space="preserve">含首日计第28天</t>
  </si>
  <si>
    <t xml:space="preserve">说明书：超过28天的安全性和有效性尚未评价</t>
  </si>
  <si>
    <t xml:space="preserve">超出说明书已评价疗程的首日（第29天）</t>
  </si>
  <si>
    <t xml:space="preserve">复方磺胺甲噁唑片起用日</t>
  </si>
  <si>
    <t xml:space="preserve">病程记录2024-07-29条</t>
  </si>
  <si>
    <t xml:space="preserve">肾内科情况说明落款日</t>
  </si>
  <si>
    <t xml:space="preserve">肾内科关于医保审核疑点的情况说明（2025-01-10）落款；同件写“目前仍口服复方磺胺甲噁唑片抗感染”</t>
  </si>
  <si>
    <t xml:space="preserve">落款日为复方磺胺甲噁唑片起用后第几天（含首日）</t>
  </si>
  <si>
    <t xml:space="preserve">天</t>
  </si>
  <si>
    <t xml:space="preserve">复方磺胺甲噁唑片起用满6个月之日</t>
  </si>
  <si>
    <t xml:space="preserve">情况说明二、所写“免疫功能低下者需≥6个月”的对照</t>
  </si>
  <si>
    <t xml:space="preserve">外院肾穿刺活检日（激素起始日未载；外院出院记录在病理结果之后写激素方案，以此日为起算点）</t>
  </si>
  <si>
    <t xml:space="preserve">外院诊疗资料（2024年2月至3月）第7页出院记录诊疗经过</t>
  </si>
  <si>
    <t xml:space="preserve">本院入院日</t>
  </si>
  <si>
    <t xml:space="preserve">入院记录（2024-07-22）</t>
  </si>
  <si>
    <t xml:space="preserve">足量激素可能持续的最长天数（上限）</t>
  </si>
  <si>
    <t xml:space="preserve">起药日、是否连续足量均未载，只是上限</t>
  </si>
  <si>
    <t xml:space="preserve">折合周数（上限）</t>
  </si>
  <si>
    <t xml:space="preserve">周</t>
  </si>
  <si>
    <t xml:space="preserve">每月平均天数（假设，用于折算记载的月数）</t>
  </si>
  <si>
    <t xml:space="preserve">列为假设</t>
  </si>
  <si>
    <t xml:space="preserve">情况说明“3个月”折合周数</t>
  </si>
  <si>
    <t xml:space="preserve">肾内科关于医保审核疑点的情况说明（2025-01-10）一、第2段</t>
  </si>
  <si>
    <t xml:space="preserve">入院记录“4个月”折合周数</t>
  </si>
  <si>
    <t xml:space="preserve">入院记录（2024-07-22）现病史</t>
  </si>
  <si>
    <t xml:space="preserve">共识对FSGS激素抵抗的周数口径</t>
  </si>
  <si>
    <t xml:space="preserve">中国成人肾病综合征免疫抑制治疗专家共识（2014）三、（三）1</t>
  </si>
  <si>
    <t xml:space="preserve">KDIGO 2021对激素抵抗的周数口径</t>
  </si>
  <si>
    <t xml:space="preserve">KDIGO（2021）Figure 50 Steroid-resistant FSGS“for at least 16 weeks”</t>
  </si>
  <si>
    <t xml:space="preserve">“3个月”是否达到共识口径</t>
  </si>
  <si>
    <t xml:space="preserve">“3个月”是否达到KDIGO口径</t>
  </si>
  <si>
    <t xml:space="preserve">外院住院24小时尿蛋白</t>
  </si>
  <si>
    <t xml:space="preserve">mg/24h</t>
  </si>
  <si>
    <t xml:space="preserve">外院诊疗资料（2024年2月至3月）第5页</t>
  </si>
  <si>
    <t xml:space="preserve">本院入院24小时尿蛋白（采样日未载）</t>
  </si>
  <si>
    <t xml:space="preserve">检验检查报告（2024-07-22至2024-08-02）第5页</t>
  </si>
  <si>
    <t xml:space="preserve">尿蛋白降幅</t>
  </si>
  <si>
    <t xml:space="preserve">两次之间是否持续足量激素未载，只作参考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</si>
</sst>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0"/>
    <numFmt numFmtId="168" formatCode="0%"/>
    <numFmt numFmtId="169" formatCode="yyyy\-mm\-dd"/>
    <numFmt numFmtId="170" formatCode="@"/>
    <numFmt numFmtId="171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宋体"/>
      <family val="0"/>
      <charset val="1"/>
    </font>
    <font>
      <sz val="9"/>
      <name val="宋体"/>
      <family val="0"/>
      <charset val="1"/>
    </font>
    <font>
      <b val="true"/>
      <sz val="10"/>
      <name val="宋体"/>
      <family val="0"/>
      <charset val="1"/>
    </font>
    <font>
      <sz val="9.5"/>
      <name val="宋体"/>
      <family val="0"/>
      <charset val="1"/>
    </font>
    <font>
      <b val="true"/>
      <sz val="9.5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2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8.3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41.7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customFormat="false" ht="41.7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14</v>
      </c>
      <c r="G5" s="4" t="s">
        <v>21</v>
      </c>
    </row>
    <row r="6" customFormat="false" ht="41.75" hidden="false" customHeight="fals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14</v>
      </c>
      <c r="G6" s="4" t="s">
        <v>27</v>
      </c>
    </row>
    <row r="7" customFormat="false" ht="41.75" hidden="false" customHeight="fals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14</v>
      </c>
      <c r="G7" s="4" t="s">
        <v>33</v>
      </c>
    </row>
    <row r="8" customFormat="false" ht="41.7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4" t="s">
        <v>26</v>
      </c>
      <c r="F8" s="4" t="s">
        <v>14</v>
      </c>
      <c r="G8" s="4" t="s">
        <v>38</v>
      </c>
    </row>
    <row r="9" customFormat="false" ht="41.75" hidden="false" customHeight="false" outlineLevel="0" collapsed="false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14</v>
      </c>
      <c r="G9" s="4" t="s">
        <v>44</v>
      </c>
    </row>
    <row r="10" customFormat="false" ht="41.75" hidden="false" customHeight="fals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14</v>
      </c>
      <c r="G10" s="4" t="s">
        <v>50</v>
      </c>
    </row>
    <row r="11" customFormat="false" ht="41.75" hidden="false" customHeight="false" outlineLevel="0" collapsed="false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14</v>
      </c>
      <c r="G11" s="4" t="s">
        <v>56</v>
      </c>
    </row>
    <row r="12" customFormat="false" ht="28.35" hidden="false" customHeight="false" outlineLevel="0" collapsed="false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63</v>
      </c>
    </row>
    <row r="13" customFormat="false" ht="28.35" hidden="false" customHeight="false" outlineLevel="0" collapsed="false">
      <c r="A13" s="4" t="s">
        <v>64</v>
      </c>
      <c r="B13" s="4" t="s">
        <v>65</v>
      </c>
      <c r="C13" s="4" t="s">
        <v>66</v>
      </c>
      <c r="D13" s="4" t="s">
        <v>67</v>
      </c>
      <c r="E13" s="4" t="s">
        <v>26</v>
      </c>
      <c r="F13" s="4" t="s">
        <v>14</v>
      </c>
      <c r="G13" s="4" t="s">
        <v>68</v>
      </c>
    </row>
    <row r="14" customFormat="false" ht="41.75" hidden="false" customHeight="false" outlineLevel="0" collapsed="false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62</v>
      </c>
      <c r="G14" s="4" t="s">
        <v>74</v>
      </c>
    </row>
    <row r="15" customFormat="false" ht="41.75" hidden="false" customHeight="false" outlineLevel="0" collapsed="false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62</v>
      </c>
      <c r="G15" s="4" t="s">
        <v>80</v>
      </c>
    </row>
    <row r="16" customFormat="false" ht="41.75" hidden="false" customHeight="false" outlineLevel="0" collapsed="false">
      <c r="A16" s="4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62</v>
      </c>
      <c r="G16" s="4" t="s">
        <v>86</v>
      </c>
    </row>
    <row r="17" customFormat="false" ht="41.75" hidden="false" customHeight="false" outlineLevel="0" collapsed="false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  <c r="F17" s="4" t="s">
        <v>14</v>
      </c>
      <c r="G17" s="4" t="s">
        <v>92</v>
      </c>
    </row>
    <row r="18" customFormat="false" ht="28.35" hidden="false" customHeight="false" outlineLevel="0" collapsed="false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62</v>
      </c>
      <c r="G18" s="4" t="s">
        <v>98</v>
      </c>
    </row>
    <row r="19" customFormat="false" ht="41.75" hidden="false" customHeight="false" outlineLevel="0" collapsed="false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14</v>
      </c>
      <c r="G19" s="4" t="s">
        <v>104</v>
      </c>
    </row>
    <row r="20" customFormat="false" ht="41.75" hidden="false" customHeight="false" outlineLevel="0" collapsed="false">
      <c r="A20" s="4" t="s">
        <v>105</v>
      </c>
      <c r="B20" s="4" t="s">
        <v>106</v>
      </c>
      <c r="C20" s="4" t="s">
        <v>107</v>
      </c>
      <c r="D20" s="4" t="s">
        <v>60</v>
      </c>
      <c r="E20" s="4" t="s">
        <v>108</v>
      </c>
      <c r="F20" s="4" t="s">
        <v>14</v>
      </c>
      <c r="G20" s="4" t="s">
        <v>109</v>
      </c>
    </row>
    <row r="21" customFormat="false" ht="28.35" hidden="false" customHeight="false" outlineLevel="0" collapsed="false">
      <c r="A21" s="4" t="s">
        <v>110</v>
      </c>
      <c r="B21" s="4" t="s">
        <v>111</v>
      </c>
      <c r="C21" s="4" t="s">
        <v>112</v>
      </c>
      <c r="D21" s="4" t="s">
        <v>113</v>
      </c>
      <c r="E21" s="4" t="s">
        <v>114</v>
      </c>
      <c r="F21" s="4" t="s">
        <v>62</v>
      </c>
      <c r="G21" s="4" t="s">
        <v>80</v>
      </c>
    </row>
    <row r="22" customFormat="false" ht="28.35" hidden="false" customHeight="false" outlineLevel="0" collapsed="false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62</v>
      </c>
      <c r="G22" s="4" t="s">
        <v>120</v>
      </c>
    </row>
    <row r="23" customFormat="false" ht="28.35" hidden="false" customHeight="false" outlineLevel="0" collapsed="false">
      <c r="A23" s="4" t="s">
        <v>121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62</v>
      </c>
      <c r="G23" s="4" t="s">
        <v>126</v>
      </c>
    </row>
    <row r="25" customFormat="false" ht="15" hidden="false" customHeight="false" outlineLevel="0" collapsed="false">
      <c r="A25" s="5" t="s">
        <v>127</v>
      </c>
      <c r="B25" s="6" t="n">
        <f aca="false">COUNTA(A4:A23)</f>
        <v>20</v>
      </c>
    </row>
    <row r="26" customFormat="false" ht="15" hidden="false" customHeight="false" outlineLevel="0" collapsed="false">
      <c r="A26" s="5" t="s">
        <v>128</v>
      </c>
      <c r="B26" s="6" t="n">
        <f aca="false">COUNTIF(F4:F23,"是")</f>
        <v>12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129</v>
      </c>
      <c r="B1" s="1"/>
      <c r="C1" s="1"/>
      <c r="D1" s="1"/>
    </row>
    <row r="2" customFormat="false" ht="15" hidden="false" customHeight="false" outlineLevel="0" collapsed="false">
      <c r="A2" s="7" t="s">
        <v>130</v>
      </c>
      <c r="B2" s="7" t="s">
        <v>131</v>
      </c>
      <c r="C2" s="7" t="s">
        <v>132</v>
      </c>
      <c r="D2" s="7" t="s">
        <v>133</v>
      </c>
    </row>
    <row r="3" customFormat="false" ht="28.35" hidden="false" customHeight="false" outlineLevel="0" collapsed="false">
      <c r="A3" s="4" t="s">
        <v>134</v>
      </c>
      <c r="B3" s="8" t="n">
        <v>0.4</v>
      </c>
      <c r="C3" s="4" t="s">
        <v>135</v>
      </c>
      <c r="D3" s="4" t="s">
        <v>136</v>
      </c>
    </row>
    <row r="4" customFormat="false" ht="15" hidden="false" customHeight="false" outlineLevel="0" collapsed="false">
      <c r="A4" s="4" t="s">
        <v>137</v>
      </c>
      <c r="B4" s="8" t="n">
        <v>0.08</v>
      </c>
      <c r="C4" s="4" t="s">
        <v>135</v>
      </c>
      <c r="D4" s="4" t="s">
        <v>138</v>
      </c>
    </row>
    <row r="5" customFormat="false" ht="28.35" hidden="false" customHeight="false" outlineLevel="0" collapsed="false">
      <c r="A5" s="4" t="s">
        <v>139</v>
      </c>
      <c r="B5" s="9" t="n">
        <v>0.8</v>
      </c>
      <c r="C5" s="4" t="s">
        <v>135</v>
      </c>
      <c r="D5" s="4" t="s">
        <v>140</v>
      </c>
    </row>
    <row r="6" customFormat="false" ht="15" hidden="false" customHeight="false" outlineLevel="0" collapsed="false">
      <c r="A6" s="4" t="s">
        <v>141</v>
      </c>
      <c r="B6" s="10" t="n">
        <v>4</v>
      </c>
      <c r="C6" s="4" t="s">
        <v>142</v>
      </c>
      <c r="D6" s="4" t="s">
        <v>138</v>
      </c>
    </row>
    <row r="7" customFormat="false" ht="15" hidden="false" customHeight="false" outlineLevel="0" collapsed="false">
      <c r="A7" s="4" t="s">
        <v>143</v>
      </c>
      <c r="B7" s="10" t="n">
        <f aca="false">B5/B3</f>
        <v>2</v>
      </c>
      <c r="C7" s="4" t="s">
        <v>144</v>
      </c>
      <c r="D7" s="4" t="s">
        <v>145</v>
      </c>
    </row>
    <row r="8" customFormat="false" ht="15" hidden="false" customHeight="false" outlineLevel="0" collapsed="false">
      <c r="A8" s="4" t="s">
        <v>146</v>
      </c>
      <c r="B8" s="9" t="n">
        <f aca="false">B5*B6</f>
        <v>3.2</v>
      </c>
      <c r="C8" s="4" t="s">
        <v>135</v>
      </c>
      <c r="D8" s="4" t="s">
        <v>147</v>
      </c>
    </row>
    <row r="9" customFormat="false" ht="15" hidden="false" customHeight="false" outlineLevel="0" collapsed="false">
      <c r="A9" s="4" t="s">
        <v>148</v>
      </c>
      <c r="B9" s="10" t="n">
        <f aca="false">B7*B4*B6*1000</f>
        <v>640</v>
      </c>
      <c r="C9" s="4" t="s">
        <v>149</v>
      </c>
      <c r="D9" s="4" t="s">
        <v>150</v>
      </c>
    </row>
    <row r="10" customFormat="false" ht="28.35" hidden="false" customHeight="false" outlineLevel="0" collapsed="false">
      <c r="A10" s="4" t="s">
        <v>151</v>
      </c>
      <c r="B10" s="9" t="n">
        <v>0.8</v>
      </c>
      <c r="C10" s="4" t="s">
        <v>135</v>
      </c>
      <c r="D10" s="4" t="s">
        <v>152</v>
      </c>
    </row>
    <row r="11" customFormat="false" ht="15" hidden="false" customHeight="false" outlineLevel="0" collapsed="false">
      <c r="A11" s="4" t="s">
        <v>153</v>
      </c>
      <c r="B11" s="10" t="n">
        <v>160</v>
      </c>
      <c r="C11" s="4" t="s">
        <v>149</v>
      </c>
      <c r="D11" s="4" t="s">
        <v>138</v>
      </c>
    </row>
    <row r="12" customFormat="false" ht="15" hidden="false" customHeight="false" outlineLevel="0" collapsed="false">
      <c r="A12" s="4" t="s">
        <v>154</v>
      </c>
      <c r="B12" s="10" t="n">
        <f aca="false">24/12</f>
        <v>2</v>
      </c>
      <c r="C12" s="4" t="s">
        <v>142</v>
      </c>
      <c r="D12" s="4" t="s">
        <v>155</v>
      </c>
    </row>
    <row r="13" customFormat="false" ht="15" hidden="false" customHeight="false" outlineLevel="0" collapsed="false">
      <c r="A13" s="4" t="s">
        <v>156</v>
      </c>
      <c r="B13" s="9" t="n">
        <f aca="false">B10*B12</f>
        <v>1.6</v>
      </c>
      <c r="C13" s="4" t="s">
        <v>135</v>
      </c>
      <c r="D13" s="4" t="s">
        <v>157</v>
      </c>
    </row>
    <row r="14" customFormat="false" ht="15" hidden="false" customHeight="false" outlineLevel="0" collapsed="false">
      <c r="A14" s="4" t="s">
        <v>158</v>
      </c>
      <c r="B14" s="10" t="n">
        <f aca="false">B11*B12</f>
        <v>320</v>
      </c>
      <c r="C14" s="4" t="s">
        <v>149</v>
      </c>
      <c r="D14" s="4" t="s">
        <v>157</v>
      </c>
    </row>
    <row r="15" customFormat="false" ht="15" hidden="false" customHeight="false" outlineLevel="0" collapsed="false">
      <c r="A15" s="4" t="s">
        <v>159</v>
      </c>
      <c r="B15" s="9" t="n">
        <f aca="false">B8/B13</f>
        <v>2</v>
      </c>
      <c r="C15" s="4" t="s">
        <v>160</v>
      </c>
      <c r="D15" s="4" t="s">
        <v>161</v>
      </c>
    </row>
    <row r="16" customFormat="false" ht="15" hidden="false" customHeight="false" outlineLevel="0" collapsed="false">
      <c r="A16" s="4" t="s">
        <v>162</v>
      </c>
      <c r="B16" s="8" t="n">
        <f aca="false">B3+B4</f>
        <v>0.48</v>
      </c>
      <c r="C16" s="4" t="s">
        <v>135</v>
      </c>
      <c r="D16" s="4" t="s">
        <v>163</v>
      </c>
    </row>
    <row r="17" customFormat="false" ht="15" hidden="false" customHeight="false" outlineLevel="0" collapsed="false">
      <c r="A17" s="4" t="s">
        <v>164</v>
      </c>
      <c r="B17" s="8" t="n">
        <f aca="false">B5/B16</f>
        <v>1.66666666666667</v>
      </c>
      <c r="C17" s="4" t="s">
        <v>144</v>
      </c>
      <c r="D17" s="4" t="s">
        <v>165</v>
      </c>
    </row>
    <row r="18" customFormat="false" ht="28.35" hidden="false" customHeight="false" outlineLevel="0" collapsed="false">
      <c r="A18" s="4" t="s">
        <v>166</v>
      </c>
      <c r="B18" s="9" t="n">
        <v>0.2</v>
      </c>
      <c r="C18" s="4" t="s">
        <v>135</v>
      </c>
      <c r="D18" s="4" t="s">
        <v>167</v>
      </c>
    </row>
    <row r="19" customFormat="false" ht="15" hidden="false" customHeight="false" outlineLevel="0" collapsed="false">
      <c r="A19" s="4" t="s">
        <v>168</v>
      </c>
      <c r="B19" s="10" t="n">
        <f aca="false">B18*1000/100</f>
        <v>2</v>
      </c>
      <c r="C19" s="4" t="s">
        <v>169</v>
      </c>
      <c r="D19" s="4" t="s">
        <v>157</v>
      </c>
    </row>
    <row r="20" customFormat="false" ht="15" hidden="false" customHeight="false" outlineLevel="0" collapsed="false">
      <c r="A20" s="4" t="s">
        <v>170</v>
      </c>
      <c r="B20" s="10" t="n">
        <v>300</v>
      </c>
      <c r="C20" s="4" t="s">
        <v>149</v>
      </c>
      <c r="D20" s="4" t="s">
        <v>171</v>
      </c>
    </row>
    <row r="21" customFormat="false" ht="28.35" hidden="false" customHeight="false" outlineLevel="0" collapsed="false">
      <c r="A21" s="4" t="s">
        <v>172</v>
      </c>
      <c r="B21" s="10" t="n">
        <v>600</v>
      </c>
      <c r="C21" s="4" t="s">
        <v>149</v>
      </c>
      <c r="D21" s="4" t="s">
        <v>173</v>
      </c>
    </row>
    <row r="22" customFormat="false" ht="15" hidden="false" customHeight="false" outlineLevel="0" collapsed="false">
      <c r="A22" s="4" t="s">
        <v>174</v>
      </c>
      <c r="B22" s="11" t="n">
        <f aca="false">B20/B21</f>
        <v>0.5</v>
      </c>
      <c r="C22" s="4" t="s">
        <v>157</v>
      </c>
      <c r="D22" s="4" t="s">
        <v>157</v>
      </c>
    </row>
    <row r="23" customFormat="false" ht="15" hidden="false" customHeight="false" outlineLevel="0" collapsed="false">
      <c r="A23" s="4" t="s">
        <v>175</v>
      </c>
      <c r="B23" s="10" t="n">
        <f aca="false">300*B19</f>
        <v>600</v>
      </c>
      <c r="C23" s="4" t="s">
        <v>149</v>
      </c>
      <c r="D23" s="4" t="s">
        <v>176</v>
      </c>
    </row>
    <row r="24" customFormat="false" ht="15" hidden="false" customHeight="false" outlineLevel="0" collapsed="false">
      <c r="A24" s="4" t="s">
        <v>177</v>
      </c>
      <c r="B24" s="12" t="n">
        <v>45502</v>
      </c>
      <c r="C24" s="4" t="s">
        <v>178</v>
      </c>
      <c r="D24" s="4" t="s">
        <v>179</v>
      </c>
    </row>
    <row r="25" customFormat="false" ht="15" hidden="false" customHeight="false" outlineLevel="0" collapsed="false">
      <c r="A25" s="4" t="s">
        <v>180</v>
      </c>
      <c r="B25" s="12" t="n">
        <f aca="false">B24+27</f>
        <v>45529</v>
      </c>
      <c r="C25" s="4" t="s">
        <v>178</v>
      </c>
      <c r="D25" s="4" t="s">
        <v>181</v>
      </c>
    </row>
    <row r="26" customFormat="false" ht="15" hidden="false" customHeight="false" outlineLevel="0" collapsed="false">
      <c r="A26" s="4" t="s">
        <v>182</v>
      </c>
      <c r="B26" s="12" t="n">
        <f aca="false">B24+28</f>
        <v>45530</v>
      </c>
      <c r="C26" s="4" t="s">
        <v>178</v>
      </c>
      <c r="D26" s="4" t="s">
        <v>157</v>
      </c>
    </row>
    <row r="27" customFormat="false" ht="15" hidden="false" customHeight="false" outlineLevel="0" collapsed="false">
      <c r="A27" s="4" t="s">
        <v>183</v>
      </c>
      <c r="B27" s="12" t="n">
        <v>45502</v>
      </c>
      <c r="C27" s="4" t="s">
        <v>178</v>
      </c>
      <c r="D27" s="4" t="s">
        <v>184</v>
      </c>
    </row>
    <row r="28" customFormat="false" ht="28.35" hidden="false" customHeight="false" outlineLevel="0" collapsed="false">
      <c r="A28" s="4" t="s">
        <v>185</v>
      </c>
      <c r="B28" s="12" t="n">
        <v>45667</v>
      </c>
      <c r="C28" s="4" t="s">
        <v>178</v>
      </c>
      <c r="D28" s="4" t="s">
        <v>186</v>
      </c>
    </row>
    <row r="29" customFormat="false" ht="15" hidden="false" customHeight="false" outlineLevel="0" collapsed="false">
      <c r="A29" s="4" t="s">
        <v>187</v>
      </c>
      <c r="B29" s="10" t="n">
        <f aca="false">B28-B27+1</f>
        <v>166</v>
      </c>
      <c r="C29" s="4" t="s">
        <v>188</v>
      </c>
      <c r="D29" s="4" t="s">
        <v>157</v>
      </c>
    </row>
    <row r="30" customFormat="false" ht="15" hidden="false" customHeight="false" outlineLevel="0" collapsed="false">
      <c r="A30" s="4" t="s">
        <v>189</v>
      </c>
      <c r="B30" s="12" t="n">
        <f aca="false">EDATE(B27,6)</f>
        <v>45686</v>
      </c>
      <c r="C30" s="4" t="s">
        <v>178</v>
      </c>
      <c r="D30" s="4" t="s">
        <v>190</v>
      </c>
    </row>
    <row r="31" customFormat="false" ht="28.35" hidden="false" customHeight="false" outlineLevel="0" collapsed="false">
      <c r="A31" s="4" t="s">
        <v>191</v>
      </c>
      <c r="B31" s="12" t="n">
        <v>45364</v>
      </c>
      <c r="C31" s="4" t="s">
        <v>178</v>
      </c>
      <c r="D31" s="4" t="s">
        <v>192</v>
      </c>
    </row>
    <row r="32" customFormat="false" ht="15" hidden="false" customHeight="false" outlineLevel="0" collapsed="false">
      <c r="A32" s="4" t="s">
        <v>193</v>
      </c>
      <c r="B32" s="12" t="n">
        <v>45495</v>
      </c>
      <c r="C32" s="4" t="s">
        <v>178</v>
      </c>
      <c r="D32" s="4" t="s">
        <v>194</v>
      </c>
    </row>
    <row r="33" customFormat="false" ht="15" hidden="false" customHeight="false" outlineLevel="0" collapsed="false">
      <c r="A33" s="4" t="s">
        <v>195</v>
      </c>
      <c r="B33" s="10" t="n">
        <f aca="false">B32-B31</f>
        <v>131</v>
      </c>
      <c r="C33" s="4" t="s">
        <v>188</v>
      </c>
      <c r="D33" s="4" t="s">
        <v>196</v>
      </c>
    </row>
    <row r="34" customFormat="false" ht="15" hidden="false" customHeight="false" outlineLevel="0" collapsed="false">
      <c r="A34" s="4" t="s">
        <v>197</v>
      </c>
      <c r="B34" s="9" t="n">
        <f aca="false">B33/7</f>
        <v>18.7142857142857</v>
      </c>
      <c r="C34" s="4" t="s">
        <v>198</v>
      </c>
      <c r="D34" s="4" t="s">
        <v>157</v>
      </c>
    </row>
    <row r="35" customFormat="false" ht="15" hidden="false" customHeight="false" outlineLevel="0" collapsed="false">
      <c r="A35" s="4" t="s">
        <v>199</v>
      </c>
      <c r="B35" s="9" t="n">
        <v>30.4</v>
      </c>
      <c r="C35" s="4" t="s">
        <v>188</v>
      </c>
      <c r="D35" s="4" t="s">
        <v>200</v>
      </c>
    </row>
    <row r="36" customFormat="false" ht="15" hidden="false" customHeight="false" outlineLevel="0" collapsed="false">
      <c r="A36" s="4" t="s">
        <v>201</v>
      </c>
      <c r="B36" s="9" t="n">
        <f aca="false">3*B35/7</f>
        <v>13.0285714285714</v>
      </c>
      <c r="C36" s="4" t="s">
        <v>198</v>
      </c>
      <c r="D36" s="4" t="s">
        <v>202</v>
      </c>
    </row>
    <row r="37" customFormat="false" ht="15" hidden="false" customHeight="false" outlineLevel="0" collapsed="false">
      <c r="A37" s="4" t="s">
        <v>203</v>
      </c>
      <c r="B37" s="9" t="n">
        <f aca="false">4*B35/7</f>
        <v>17.3714285714286</v>
      </c>
      <c r="C37" s="4" t="s">
        <v>198</v>
      </c>
      <c r="D37" s="4" t="s">
        <v>204</v>
      </c>
    </row>
    <row r="38" customFormat="false" ht="15" hidden="false" customHeight="false" outlineLevel="0" collapsed="false">
      <c r="A38" s="4" t="s">
        <v>205</v>
      </c>
      <c r="B38" s="10" t="n">
        <v>12</v>
      </c>
      <c r="C38" s="4" t="s">
        <v>198</v>
      </c>
      <c r="D38" s="4" t="s">
        <v>206</v>
      </c>
    </row>
    <row r="39" customFormat="false" ht="15" hidden="false" customHeight="false" outlineLevel="0" collapsed="false">
      <c r="A39" s="4" t="s">
        <v>207</v>
      </c>
      <c r="B39" s="10" t="n">
        <v>16</v>
      </c>
      <c r="C39" s="4" t="s">
        <v>198</v>
      </c>
      <c r="D39" s="4" t="s">
        <v>208</v>
      </c>
    </row>
    <row r="40" customFormat="false" ht="15" hidden="false" customHeight="false" outlineLevel="0" collapsed="false">
      <c r="A40" s="4" t="s">
        <v>209</v>
      </c>
      <c r="B40" s="13" t="str">
        <f aca="false">IF(B36&gt;=B38,"达到","未达到")</f>
        <v>达到</v>
      </c>
      <c r="C40" s="4" t="s">
        <v>157</v>
      </c>
      <c r="D40" s="4" t="s">
        <v>157</v>
      </c>
    </row>
    <row r="41" customFormat="false" ht="15" hidden="false" customHeight="false" outlineLevel="0" collapsed="false">
      <c r="A41" s="4" t="s">
        <v>210</v>
      </c>
      <c r="B41" s="13" t="str">
        <f aca="false">IF(B36&gt;=B39,"达到","未达到")</f>
        <v>未达到</v>
      </c>
      <c r="C41" s="4" t="s">
        <v>157</v>
      </c>
      <c r="D41" s="4" t="s">
        <v>157</v>
      </c>
    </row>
    <row r="42" customFormat="false" ht="15" hidden="false" customHeight="false" outlineLevel="0" collapsed="false">
      <c r="A42" s="4" t="s">
        <v>211</v>
      </c>
      <c r="B42" s="10" t="n">
        <v>12874</v>
      </c>
      <c r="C42" s="4" t="s">
        <v>212</v>
      </c>
      <c r="D42" s="4" t="s">
        <v>213</v>
      </c>
    </row>
    <row r="43" customFormat="false" ht="15" hidden="false" customHeight="false" outlineLevel="0" collapsed="false">
      <c r="A43" s="4" t="s">
        <v>214</v>
      </c>
      <c r="B43" s="10" t="n">
        <v>7179</v>
      </c>
      <c r="C43" s="4" t="s">
        <v>212</v>
      </c>
      <c r="D43" s="4" t="s">
        <v>215</v>
      </c>
    </row>
    <row r="44" customFormat="false" ht="15" hidden="false" customHeight="false" outlineLevel="0" collapsed="false">
      <c r="A44" s="4" t="s">
        <v>216</v>
      </c>
      <c r="B44" s="14" t="n">
        <f aca="false">(B42-B43)/B42</f>
        <v>0.442364455491689</v>
      </c>
      <c r="C44" s="4" t="s">
        <v>157</v>
      </c>
      <c r="D44" s="4" t="s">
        <v>217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</Properties>
</file>

<file path=docProps/core.xml><?xml version="1.0" encoding="utf-8"?>
<cp:coreProperties xmlns:cp="http://schemas.openxmlformats.org/package/2006/metadata/core-properties"/>
</file>