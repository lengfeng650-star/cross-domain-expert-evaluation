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Type="http://schemas.openxmlformats.org/officeDocument/2006/relationships/officeDocument" Target="/xl/workbook.xml" Id="R1c95db5d883e4838"/><Relationship Id="rIdOffice1" Type="http://schemas.openxmlformats.org/package/2006/relationships/metadata/core-properties" Target="docProps/core.xml"/><Relationship Id="rIdOffice2" Type="http://schemas.openxmlformats.org/officeDocument/2006/relationships/extended-properties" Target="docProps/app.xml"/></Relationships>
</file>

<file path=xl/workbook.xml><?xml version="1.0" encoding="utf-8"?>
<x:workbook xmlns:x="http://schemas.openxmlformats.org/spreadsheetml/2006/main">
  <x:sheets>
    <x:sheet xmlns:r="http://schemas.openxmlformats.org/officeDocument/2006/relationships" name="尽调结论" sheetId="1" r:id="R484746ff0d8848b5"/>
    <x:sheet xmlns:r="http://schemas.openxmlformats.org/officeDocument/2006/relationships" name="权属与许可台账" sheetId="2" r:id="R6c9c42b9ca3c459f"/>
    <x:sheet xmlns:r="http://schemas.openxmlformats.org/officeDocument/2006/relationships" name="数据复算" sheetId="3" r:id="R65a23707d8604b94"/>
    <x:sheet xmlns:r="http://schemas.openxmlformats.org/officeDocument/2006/relationships" name="交割条件" sheetId="4" r:id="R4d8813547e46434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00%"/>
  </x:numFmts>
  <x:fonts count="3">
    <x:font>
      <x:sz val="11"/>
      <x:name val="Carlito"/>
    </x:font>
    <x:font>
      <x:sz val="10"/>
      <x:color rgb="FF000000"/>
      <x:name val="微软雅黑"/>
    </x:font>
    <x:font>
      <x:b/>
      <x:sz val="11"/>
      <x:color rgb="FFFFFFFF"/>
      <x:name val="微软雅黑"/>
    </x:font>
  </x:fonts>
  <x:fills count="4">
    <x:fill>
      <x:patternFill patternType="none"/>
    </x:fill>
    <x:fill>
      <x:patternFill patternType="gray125"/>
    </x:fill>
    <x:fill>
      <x:patternFill patternType="solid">
        <x:fgColor rgb="FFFFFFFF"/>
      </x:patternFill>
    </x:fill>
    <x:fill>
      <x:patternFill patternType="solid">
        <x:fgColor rgb="FF1F4E78"/>
      </x:patternFill>
    </x:fill>
  </x:fills>
  <x:borders count="2">
    <x:border>
      <x:left/>
      <x:right/>
      <x:top/>
      <x:bottom/>
      <x:diagonal/>
    </x:border>
    <x:border>
      <x:left style="thin">
        <x:color rgb="FFB7B7B7"/>
      </x:left>
      <x:right style="thin">
        <x:color rgb="FFB7B7B7"/>
      </x:right>
      <x:top style="thin">
        <x:color rgb="FFB7B7B7"/>
      </x:top>
      <x:bottom style="thin">
        <x:color rgb="FFB7B7B7"/>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200" fontId="0" fillId="0" borderId="0" xfId="0" applyNumberFormat="1" applyFont="1" applyFill="1" applyBorder="1"/>
    <x:xf numFmtId="200" fontId="1" fillId="0" borderId="0" xfId="0" applyNumberFormat="1" applyFont="1" applyFill="1" applyBorder="1"/>
    <x:xf numFmtId="200" fontId="1" fillId="2" borderId="0" xfId="0" applyNumberFormat="1" applyFont="1" applyFill="1" applyBorder="1"/>
    <x:xf numFmtId="200" fontId="1" fillId="2" borderId="0" xfId="0" applyNumberFormat="1" applyFont="1" applyFill="1" applyBorder="1" applyAlignment="1">
      <x:alignment wrapText="1"/>
    </x:xf>
    <x:xf numFmtId="200" fontId="1" fillId="2" borderId="0" xfId="0" applyNumberFormat="1" applyFont="1" applyFill="1" applyBorder="1" applyAlignment="1">
      <x:alignment vertical="top" wrapText="1"/>
    </x:xf>
    <x:xf numFmtId="200" fontId="1" fillId="2" borderId="1" xfId="0" applyNumberFormat="1" applyFont="1" applyFill="1" applyBorder="1" applyAlignment="1">
      <x:alignment vertical="top" wrapText="1"/>
    </x:xf>
    <x:xf numFmtId="201" fontId="1" fillId="2" borderId="1" xfId="0" applyNumberFormat="1" applyFont="1" applyFill="1" applyBorder="1" applyAlignment="1">
      <x:alignment vertical="top" wrapText="1"/>
    </x:xf>
    <x:xf numFmtId="202" fontId="0" fillId="0" borderId="0" xfId="0" applyNumberFormat="1" applyFont="1" applyFill="1" applyBorder="1"/>
    <x:xf numFmtId="202" fontId="1" fillId="0" borderId="0" xfId="0" applyNumberFormat="1" applyFont="1" applyFill="1" applyBorder="1"/>
    <x:xf numFmtId="202" fontId="1" fillId="2" borderId="0" xfId="0" applyNumberFormat="1" applyFont="1" applyFill="1" applyBorder="1"/>
    <x:xf numFmtId="202" fontId="1" fillId="2" borderId="0" xfId="0" applyNumberFormat="1" applyFont="1" applyFill="1" applyBorder="1" applyAlignment="1">
      <x:alignment wrapText="1"/>
    </x:xf>
    <x:xf numFmtId="202" fontId="1" fillId="2" borderId="0" xfId="0" applyNumberFormat="1" applyFont="1" applyFill="1" applyBorder="1" applyAlignment="1">
      <x:alignment vertical="top" wrapText="1"/>
    </x:xf>
    <x:xf numFmtId="202" fontId="1" fillId="2"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740947d93e478c" /><Relationship Type="http://schemas.openxmlformats.org/officeDocument/2006/relationships/theme" Target="/xl/theme/theme1.xml" Id="R099b12b50d05482c" /><Relationship Type="http://schemas.openxmlformats.org/officeDocument/2006/relationships/sharedStrings" Target="/xl/sharedStrings.xml" Id="R7faf05c92e394cc9" /><Relationship Type="http://schemas.openxmlformats.org/officeDocument/2006/relationships/worksheet" Target="/xl/worksheets/sheet1.xml" Id="R484746ff0d8848b5" /><Relationship Type="http://schemas.openxmlformats.org/officeDocument/2006/relationships/worksheet" Target="/xl/worksheets/sheet2.xml" Id="R6c9c42b9ca3c459f" /><Relationship Type="http://schemas.openxmlformats.org/officeDocument/2006/relationships/worksheet" Target="/xl/worksheets/sheet3.xml" Id="R65a23707d8604b94" /><Relationship Type="http://schemas.openxmlformats.org/officeDocument/2006/relationships/worksheet" Target="/xl/worksheets/sheet4.xml" Id="R4d8813547e46434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00" hidden="0" customWidth="1"/>
    <x:col min="3" max="3" width="70" hidden="0" customWidth="1"/>
  </x:cols>
  <x:sheetData>
    <x:row r="1" ht="32" customHeight="1">
      <x:c r="A1" s="7" t="str">
        <x:v>审查事项</x:v>
      </x:c>
      <x:c r="B1" s="7" t="str">
        <x:v>法律意见</x:v>
      </x:c>
      <x:c r="C1" s="7" t="str">
        <x:v>适用范围/行动</x:v>
      </x:c>
    </x:row>
    <x:row r="2" ht="110" customHeight="1">
      <x:c r="A2" s="5" t="str">
        <x:v>审查对象与基准</x:v>
      </x:c>
      <x:c r="B2" s="5" t="str">
        <x:v>东阳光数据中心资产权属与许可专项尽调</x:v>
      </x:c>
      <x:c r="C2" s="5" t="str">
        <x:v>2026-09-23；中国大陆；仅依据随附公开原件</x:v>
      </x:c>
    </x:row>
    <x:row r="3" ht="110" customHeight="1">
      <x:c r="A3" s="5" t="str">
        <x:v>总体结论</x:v>
      </x:c>
      <x:c r="B3" s="5" t="str">
        <x:v>最新披露支持在满足具体交易和整改条件后继续推进，不支持所有产权与项目手续均已齐备的结论。应按项目核验持牌、土地及机电主体，处理版本和表内更新，并将剩余瑕疵与历史合同追索限制写入交易安排。</x:v>
      </x:c>
      <x:c r="C3" s="5" t="str">
        <x:v>据此安排交易或股东行权；具体事实及依据逐项见台账</x:v>
      </x:c>
    </x:row>
    <x:row r="4" ht="110" customHeight="1">
      <x:c r="A4" s="5" t="str">
        <x:v>关键法律判断</x:v>
      </x:c>
      <x:c r="B4" s="5" t="str">
        <x:v>当前重组为购买东数一号70%权益，产权和手续尚有待完善事项。只有交易范围、必要审批及重大项目运营条件落实、其余整改责任被有效约定后，才有继续推进依据；现不能作全部证照齐备的交割判断。
70%由直接68.98%和共创一、二号基金份额间接对应1.02%构成。基金份额买卖与底层股权权益应沿控制链核对，不能写成买下目标100%股权或所有历史集团资产。</x:v>
      </x:c>
      <x:c r="C4" s="5" t="str">
        <x:v>相关原件、规则及定位见台账对应事项</x:v>
      </x:c>
    </x:row>
    <x:row r="5" ht="110" customHeight="1">
      <x:c r="A5" s="5" t="str">
        <x:v>事实与法律区分</x:v>
      </x:c>
      <x:c r="B5" s="5" t="str">
        <x:v>公开披露转述、裁判/监管结论、登记/许可状态及待补原始证据分别审查。已知文件的观点不能代替尚未提供的原始凭证。</x:v>
      </x:c>
      <x:c r="C5" s="5" t="str">
        <x:v>权证、许可证及主管部门证明原件待补，公开披露的核查结论与原始凭证分别核验。</x:v>
      </x:c>
    </x:row>
    <x:row r="6" ht="110" customHeight="1">
      <x:c r="A6" s="5" t="str">
        <x:v>计算口径</x:v>
      </x:c>
      <x:c r="B6" s="5" t="str">
        <x:v>分层和功能数量分别计数，兼任不重复；面积依据最新披露清单，权证实测值须再核。</x:v>
      </x:c>
      <x:c r="C6" s="5" t="str">
        <x:v>计算公式与原始输入见复算表；不对缺失金额补造数值</x:v>
      </x:c>
    </x:row>
    <x:row r="7" ht="240" customHeight="1">
      <x:c r="A7" s="5" t="str">
        <x:v>决策前提</x:v>
      </x:c>
      <x:c r="B7" s="5" t="str">
        <x:v>交易范围与审批：明确直接及间接权益范围，不能用前次交割代替本次批准
银行控制权同意：核对最新称已取得的全部必要同意，确认无新增触发
项目许可映射：土地机电与持牌主体配对，避免依赖错误法人资质
权证和抵押：可延后办证需约定办理节点、责任及救济；重大运营障碍未解决不交割
验收与整改：证明覆盖范围单列；遗留事项逐项取得验收而非仅收无处罚说明
VIE及前次交割：核实分阶段交割定义及1月/4月日期差异，不混同公司注销
知识产权及租赁：区分每种权利与替代安排，补齐合理使用和搬迁衔接
历史责任与报告：已知/已披露事项排除、减损与不重复获偿；不得保证所有风险无限追索</x:v>
      </x:c>
      <x:c r="C7" s="5" t="str">
        <x:v>所需凭证、时点及责任角色见行动/条件清单</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30" hidden="0" customWidth="1"/>
    <x:col min="3" max="3" width="110" hidden="0" customWidth="1"/>
    <x:col min="4" max="4" width="54" hidden="0" customWidth="1"/>
    <x:col min="5" max="5" width="54" hidden="0" customWidth="1"/>
    <x:col min="6" max="6" width="52" hidden="0" customWidth="1"/>
  </x:cols>
  <x:sheetData>
    <x:row r="1" ht="32" customHeight="1">
      <x:c r="A1" s="7" t="str">
        <x:v>序号</x:v>
      </x:c>
      <x:c r="B1" s="7" t="str">
        <x:v>事项</x:v>
      </x:c>
      <x:c r="C1" s="7" t="str">
        <x:v>原文事实与审查判断</x:v>
      </x:c>
      <x:c r="D1" s="7" t="str">
        <x:v>证据来源</x:v>
      </x:c>
      <x:c r="E1" s="7" t="str">
        <x:v>证据定位</x:v>
      </x:c>
      <x:c r="F1" s="7" t="str">
        <x:v>适用依据/判断基础</x:v>
      </x:c>
    </x:row>
    <x:row r="2" ht="115" customHeight="1">
      <x:c r="A2" s="5" t="n">
        <x:v>1</x:v>
      </x:c>
      <x:c r="B2" s="5" t="str">
        <x:v>交易总体建议</x:v>
      </x:c>
      <x:c r="C2" s="5" t="str">
        <x:v>当前重组为购买东数一号70%权益，产权和手续尚有待完善事项。只有交易范围、必要审批及重大项目运营条件落实、其余整改责任被有效约定后，才有继续推进依据；现不能作全部证照齐备的交割判断。</x:v>
      </x:c>
      <x:c r="D2" s="5" t="str">
        <x:v>嘉源_补充法律意见书二_20260923.pdf</x:v>
      </x:c>
      <x:c r="E2" s="5" t="str">
        <x:v>PDF第122、131、132、133页，关键词“合规性、程序性瑕疵”</x:v>
      </x:c>
      <x:c r="F2" s="5" t="str">
        <x:v>依据随附事实、程序和合同披露；未载事项待核</x:v>
      </x:c>
    </x:row>
    <x:row r="3" ht="115" customHeight="1">
      <x:c r="A3" s="5" t="n">
        <x:v>2</x:v>
      </x:c>
      <x:c r="B3" s="5" t="str">
        <x:v>股权与实物边界</x:v>
      </x:c>
      <x:c r="C3" s="5" t="str">
        <x:v>70%由直接68.98%和共创一、二号基金份额间接对应1.02%构成。基金份额买卖与底层股权权益应沿控制链核对，不能写成买下目标100%股权或所有历史集团资产。</x:v>
      </x:c>
      <x:c r="D3" s="5" t="str">
        <x:v>东阳光重组报告书（修订稿）.pdf</x:v>
      </x:c>
      <x:c r="E3" s="5" t="str">
        <x:v>PDF第9页起，检索“68.98”并对照相关章节</x:v>
      </x:c>
      <x:c r="F3" s="5" t="str">
        <x:v>依据随附事实、程序和合同披露；未载事项待核</x:v>
      </x:c>
    </x:row>
    <x:row r="4" ht="115" customHeight="1">
      <x:c r="A4" s="5" t="n">
        <x:v>3</x:v>
      </x:c>
      <x:c r="B4" s="5" t="str">
        <x:v>前次与本次交易</x:v>
      </x:c>
      <x:c r="C4" s="5" t="str">
        <x:v>前次中国区收购以2026-01-16为协议交割及付款节点，本次上市公司发行股份购买东数一号权益另有审批和交割流程。前次已付价款不替代本次交易所审核、证监会注册与过户条件；股东会程序见证也不能代替这些监管或登记文件。</x:v>
      </x:c>
      <x:c r="D4" s="5" t="str">
        <x:v>嘉源_补充法律意见书二_20260923.pdf</x:v>
      </x:c>
      <x:c r="E4" s="5" t="str">
        <x:v>PDF第8、58、67页，关键词“2026年1月16”</x:v>
      </x:c>
      <x:c r="F4" s="5" t="str">
        <x:v>依据随附事实、程序和合同披露；未载事项待核</x:v>
      </x:c>
    </x:row>
    <x:row r="5" ht="115" customHeight="1">
      <x:c r="A5" s="5" t="n">
        <x:v>4</x:v>
      </x:c>
      <x:c r="B5" s="5" t="str">
        <x:v>范围完整性</x:v>
      </x:c>
      <x:c r="C5" s="5" t="str">
        <x:v>补充意见披露前次取得七家外商独资企业及一家VIE公司100%股权，包括梧桐数基、河北思达歌、大同秦数、上海思达歌、南通思达歌、张家口思达柯、上海福来科斯、河北秦数及其下属公司，覆盖中国区全部实际IDC运营主体和核心经营资源。未纳入且仍存续的主体包括山西秦数智造设备制造、苏州思达柯数据科技等设备采购或历史持股平台；另有赤城秦能新能源于2024-11-19、山西秦风绿能电力科技于2024-12-24、山西秦风绿能管理咨询于2025-01-23注销。须区分收购内、未纳入存续及已注销三类；实际经营资源完整不等于所有历史注册法人均被购买，也不能将前次范围等同本次直接标的。原协议与结构图仍需取得核验。</x:v>
      </x:c>
      <x:c r="D5" s="5" t="str">
        <x:v>嘉源_补充法律意见书二_20260923.pdf</x:v>
      </x:c>
      <x:c r="E5" s="5" t="str">
        <x:v>PDF第60、61页，关键词“七家外商独资企业”</x:v>
      </x:c>
      <x:c r="F5" s="5" t="str">
        <x:v>依据随附事实、程序和合同披露；未载事项待核</x:v>
      </x:c>
    </x:row>
    <x:row r="6" ht="115" customHeight="1">
      <x:c r="A6" s="5" t="n">
        <x:v>5</x:v>
      </x:c>
      <x:c r="B6" s="5" t="str">
        <x:v>层级计数</x:v>
      </x:c>
      <x:c r="C6" s="5" t="str">
        <x:v>最新秦淮层级为一级12家、二级93家、三级9家，二三级合计102家，全部三层合计114家。一级12家包含原8家及评估基准日后新增或内部受让4家；统计从东数三号下的秦淮公司开始，不含上层东数一号、东创未来、东数三号。</x:v>
      </x:c>
      <x:c r="D6" s="5" t="str">
        <x:v>嘉源_补充法律意见书二_20260923.pdf</x:v>
      </x:c>
      <x:c r="E6" s="5" t="str">
        <x:v>PDF第93页，关键词“93家”</x:v>
      </x:c>
      <x:c r="F6" s="5" t="str">
        <x:v>依据随附事实、程序和合同披露；未载事项待核</x:v>
      </x:c>
    </x:row>
    <x:row r="7" ht="115" customHeight="1">
      <x:c r="A7" s="5" t="n">
        <x:v>6</x:v>
      </x:c>
      <x:c r="B7" s="5" t="str">
        <x:v>功能计数去重</x:v>
      </x:c>
      <x:c r="C7" s="5" t="str">
        <x:v>45家项目公司按互斥职能组合分为牌照8、土地5、机电16、牌照兼机电1、土地兼机电15。分别承担牌照9、土地20、机电32家，职能次数合计61含重合，法人去重仍为45家。二三级102家分别为45家项目公司、11家职能公司、46家储备公司，不能将层级和功能统计再次累计。</x:v>
      </x:c>
      <x:c r="D7" s="5" t="str">
        <x:v>嘉源_补充法律意见书二_20260923.pdf</x:v>
      </x:c>
      <x:c r="E7" s="5" t="str">
        <x:v>PDF第94页，关键词“牌照公司+机电公司”</x:v>
      </x:c>
      <x:c r="F7" s="5" t="str">
        <x:v>依据随附事实、程序和合同披露；未载事项待核</x:v>
      </x:c>
    </x:row>
    <x:row r="8" ht="115" customHeight="1">
      <x:c r="A8" s="5" t="n">
        <x:v>7</x:v>
      </x:c>
      <x:c r="B8" s="5" t="str">
        <x:v>牌照与资产主体配对</x:v>
      </x:c>
      <x:c r="C8" s="5" t="str">
        <x:v>东花园1至3期由北京秦淮持牌、河北秦淮持有土地及机电；4期由思达科河北数据科技持牌、怀来斯达源持机电、河北秦淮持土地。各期许可证与资产法人应成对确认，不能按园区名称合并为同一主体。</x:v>
      </x:c>
      <x:c r="D8" s="5" t="str">
        <x:v>嘉源_补充法律意见书二_20260923.pdf</x:v>
      </x:c>
      <x:c r="E8" s="5" t="str">
        <x:v>PDF第96页，关键词“东花园1期”</x:v>
      </x:c>
      <x:c r="F8" s="5" t="str">
        <x:v>依据随附事实、程序和合同披露；未载事项待核</x:v>
      </x:c>
    </x:row>
    <x:row r="9" ht="115" customHeight="1">
      <x:c r="A9" s="5" t="n">
        <x:v>8</x:v>
      </x:c>
      <x:c r="B9" s="5" t="str">
        <x:v>总部基地牌照分工</x:v>
      </x:c>
      <x:c r="C9" s="5" t="str">
        <x:v>总部基地1至4期的持牌主体为怀来秦园，土地及机电分别由怀来斯达科、怀来斯达东、怀来斯达华、怀来斯达铎承担。各子公司人格和许可证分别识别，许可范围、有效期、机房地址与运营合同须落到持牌法人，不能用资产权人名称替代。</x:v>
      </x:c>
      <x:c r="D9" s="5" t="str">
        <x:v>嘉源_补充法律意见书二_20260923.pdf</x:v>
      </x:c>
      <x:c r="E9" s="5" t="str">
        <x:v>PDF第96、131、132、143、150、156页，关键词“总部基地1期”</x:v>
      </x:c>
      <x:c r="F9" s="5" t="str">
        <x:v>依据随附事实、程序和合同披露；未载事项待核</x:v>
      </x:c>
    </x:row>
    <x:row r="10" ht="115" customHeight="1">
      <x:c r="A10" s="5" t="n">
        <x:v>9</x:v>
      </x:c>
      <x:c r="B10" s="5" t="str">
        <x:v>土地时点对照</x:v>
      </x:c>
      <x:c r="C10" s="5" t="str">
        <x:v>7月报告期未办证土地表仍列5宗，其中第三宗怀来斯达铮29,201.67平方米，表下注释已说明取得第0004985号证。旧清单不是出具日未办证总量，韶关工业用地127,748.59平方米等还应继续看后续版本。9月当前清单已剩三宗，须按报告期末、意见出具日和审查基准日分别更新。</x:v>
      </x:c>
      <x:c r="D10" s="5" t="str">
        <x:v>嘉源_法律意见书_20260721.pdf</x:v>
      </x:c>
      <x:c r="E10" s="5" t="str">
        <x:v>PDF第94页，关键词“29,201.67”</x:v>
      </x:c>
      <x:c r="F10" s="5" t="str">
        <x:v>依据随附事实、程序和合同披露；未载事项待核</x:v>
      </x:c>
    </x:row>
    <x:row r="11" ht="115" customHeight="1">
      <x:c r="A11" s="5" t="n">
        <x:v>10</x:v>
      </x:c>
      <x:c r="B11" s="5" t="str">
        <x:v>最新土地清单</x:v>
      </x:c>
      <x:c r="C11" s="5" t="str">
        <x:v>9月清单为河北秦淮存瑞11,651.49平方米、河北秦淮东花园12,745.12平方米及韶关秦韶供电用地4,274.77平方米，合计28,671.38平方米。三宗均披露已签出让合同、缴款并正在办证；面积为规划或现有手续口径，最终登记实测另核，不能记为已获权证。</x:v>
      </x:c>
      <x:c r="D11" s="5" t="str">
        <x:v>嘉源_补充法律意见书二_20260923.pdf</x:v>
      </x:c>
      <x:c r="E11" s="5" t="str">
        <x:v>PDF第135页，关键词“11,651.49”</x:v>
      </x:c>
      <x:c r="F11" s="5" t="str">
        <x:v>依据随附事实、程序和合同披露；未载事项待核</x:v>
      </x:c>
    </x:row>
    <x:row r="12" ht="115" customHeight="1">
      <x:c r="A12" s="5" t="n">
        <x:v>11</x:v>
      </x:c>
      <x:c r="B12" s="5" t="str">
        <x:v>不动产权登记边界</x:v>
      </x:c>
      <x:c r="C12" s="5" t="str">
        <x:v>民法典209条处理不动产权利登记，215条区分合同效力。土地出让合同有效和已付价款不自动证明已经办证，办证缺失也不能不加分析地推出交易合同无效；应分别确定合同权利和登记状态。</x:v>
      </x:c>
      <x:c r="D12" s="5" t="str">
        <x:v>民事法律及司法文件汇编.pdf</x:v>
      </x:c>
      <x:c r="E12" s="5" t="str">
        <x:v>民事法律及司法文件汇编.pdf第40页第209条、第41页第215条</x:v>
      </x:c>
      <x:c r="F12" s="5" t="str">
        <x:v>《民法典》第209、215条</x:v>
      </x:c>
    </x:row>
    <x:row r="13" ht="115" customHeight="1">
      <x:c r="A13" s="5" t="n">
        <x:v>12</x:v>
      </x:c>
      <x:c r="B13" s="5" t="str">
        <x:v>已办证土地仍可能有负担</x:v>
      </x:c>
      <x:c r="C13" s="5" t="str">
        <x:v>7月法律意见列报告期已办证土地30宗、房屋46项，并将部分抵押解释为目标自身项目融资安排。抵押不是当然第三方担保，也不等于零风险，需查债务、抵押登记、处置及解除条件。股权转让不会自动解除子公司抵押或银行控制权变更条款。</x:v>
      </x:c>
      <x:c r="D13" s="5" t="str">
        <x:v>嘉源_法律意见书_20260721.pdf</x:v>
      </x:c>
      <x:c r="E13" s="5" t="str">
        <x:v>PDF第94页，关键词“30宗”</x:v>
      </x:c>
      <x:c r="F13" s="5" t="str">
        <x:v>依据随附事实、程序和合同披露；未载事项待核</x:v>
      </x:c>
    </x:row>
    <x:row r="14" ht="115" customHeight="1">
      <x:c r="A14" s="5" t="n">
        <x:v>13</x:v>
      </x:c>
      <x:c r="B14" s="5" t="str">
        <x:v>房屋清单汇总</x:v>
      </x:c>
      <x:c r="C14" s="5" t="str">
        <x:v>9月未办证房屋清单九行面积依次为152351.85、19736.74、3997.91、296、901.72、3311.49、330.76、1311、2186.31平方米，合计184,423.78平方米。九行并非九栋或九个不同权利人，仍要逐项跟踪最终登记。最大一行对应怀来斯达科152,351.85平方米，应逐权利人、设施和权证跟踪。</x:v>
      </x:c>
      <x:c r="D14" s="5" t="str">
        <x:v>嘉源_补充法律意见书二_20260923.pdf</x:v>
      </x:c>
      <x:c r="E14" s="5" t="str">
        <x:v>PDF第134页，关键词“152,351.85”</x:v>
      </x:c>
      <x:c r="F14" s="5" t="str">
        <x:v>依据随附事实、程序和合同披露；未载事项待核</x:v>
      </x:c>
    </x:row>
    <x:row r="15" ht="115" customHeight="1">
      <x:c r="A15" s="5" t="n">
        <x:v>14</x:v>
      </x:c>
      <x:c r="B15" s="5" t="str">
        <x:v>同一表内更新</x:v>
      </x:c>
      <x:c r="C15" s="5" t="str">
        <x:v>总部基地4期旧表将411、412、413合计40,583.28平方米列在同一行；411面积17,440.42、413面积3,406.12已办证，剩412为19,736.74平方米。须阅读同页及后续说明，不能继续把整行旧面积列为未办证。411、413两项已办证面积合计20,846.54平方米，与旧合计相减后为剩余412面积，9月清单相符。</x:v>
      </x:c>
      <x:c r="D15" s="5" t="str">
        <x:v>嘉源_法律意见书_20260721.pdf</x:v>
      </x:c>
      <x:c r="E15" s="5" t="str">
        <x:v>PDF第95页，关键词“40,583.28”</x:v>
      </x:c>
      <x:c r="F15" s="5" t="str">
        <x:v>依据随附事实、程序和合同披露；未载事项待核</x:v>
      </x:c>
    </x:row>
    <x:row r="16" ht="115" customHeight="1">
      <x:c r="A16" s="5" t="n">
        <x:v>15</x:v>
      </x:c>
      <x:c r="B16" s="5" t="str">
        <x:v>扫描首版权证更新</x:v>
      </x:c>
      <x:c r="C16" s="5" t="str">
        <x:v>6月扫描意见已经在五宗土地表下注明怀来斯达铮第三宗取得冀（2026）怀来县第0004985号证，并列411、413房屋第005189、005190号证。五宗和九行是报告期表，出具日已有更新。这些信息不是7月或9月才首次出现。</x:v>
      </x:c>
      <x:c r="D16" s="5" t="str">
        <x:v>嘉源_法律意见书_20260616.pdf</x:v>
      </x:c>
      <x:c r="E16" s="5" t="str">
        <x:v>PDF第95—97页，报告期清单、第三宗土地注释及411/413办证表</x:v>
      </x:c>
      <x:c r="F16" s="5" t="str">
        <x:v>依据随附事实、程序和合同披露；未载事项待核</x:v>
      </x:c>
    </x:row>
    <x:row r="17" ht="115" customHeight="1">
      <x:c r="A17" s="5" t="n">
        <x:v>16</x:v>
      </x:c>
      <x:c r="B17" s="5" t="str">
        <x:v>已建与在建区分</x:v>
      </x:c>
      <x:c r="C17" s="5" t="str">
        <x:v>庆阳1期、桑园3期为在建项目，审批办理应结合建设阶段评价；六类已建项目遗留程序另列整改。不能将正常在建申办直接等同违法，也不能将正常申办说明用于覆盖已建项目的历史瑕疵。</x:v>
      </x:c>
      <x:c r="D17" s="5" t="str">
        <x:v>嘉源_补充法律意见书二_20260923.pdf</x:v>
      </x:c>
      <x:c r="E17" s="5" t="str">
        <x:v>PDF第131、156、160页，关键词“庆阳1期”</x:v>
      </x:c>
      <x:c r="F17" s="5" t="str">
        <x:v>依据随附事实、程序和合同披露；未载事项待核</x:v>
      </x:c>
    </x:row>
    <x:row r="18" ht="115" customHeight="1">
      <x:c r="A18" s="5" t="n">
        <x:v>17</x:v>
      </x:c>
      <x:c r="B18" s="5" t="str">
        <x:v>东花园剩余验收</x:v>
      </x:c>
      <x:c r="C18" s="5" t="str">
        <x:v>东花园1至4期机房4、油罐区仍欠环评验收，共享空间欠消防及竣工验收，运维楼欠竣工备案。废水站2025年12月完成的只是特定设施的竣工验收，不能替代其余手续。</x:v>
      </x:c>
      <x:c r="D18" s="5" t="str">
        <x:v>嘉源_补充法律意见书二_20260923.pdf</x:v>
      </x:c>
      <x:c r="E18" s="5" t="str">
        <x:v>PDF第131页，关键词“机房4和油罐区”</x:v>
      </x:c>
      <x:c r="F18" s="5" t="str">
        <x:v>依据随附事实、程序和合同披露；未载事项待核</x:v>
      </x:c>
    </x:row>
    <x:row r="19" ht="115" customHeight="1">
      <x:c r="A19" s="5" t="n">
        <x:v>18</x:v>
      </x:c>
      <x:c r="B19" s="5" t="str">
        <x:v>总部基地一期证照冲突</x:v>
      </x:c>
      <x:c r="C19" s="5" t="str">
        <x:v>总部基地1期5号楼在同份意见中一处称规划和施工证已取得，整改表仍表述为办理中。应收取发证原件及核实截止日期，保留差异；环评、消防和竣工未完项目继续分别跟踪。</x:v>
      </x:c>
      <x:c r="D19" s="5" t="str">
        <x:v>嘉源_补充法律意见书二_20260923.pdf</x:v>
      </x:c>
      <x:c r="E19" s="5" t="str">
        <x:v>PDF第131、132、134页，关键词“5号楼动力中心”</x:v>
      </x:c>
      <x:c r="F19" s="5" t="str">
        <x:v>依据随附事实、程序和合同披露；未载事项待核</x:v>
      </x:c>
    </x:row>
    <x:row r="20" ht="115" customHeight="1">
      <x:c r="A20" s="5" t="n">
        <x:v>19</x:v>
      </x:c>
      <x:c r="B20" s="5" t="str">
        <x:v>总部基地四期客户依赖</x:v>
      </x:c>
      <x:c r="C20" s="5" t="str">
        <x:v>总部基地4期412机房的客户尚未确定消防设备要求，设备未安装，消防和竣工验收亦未完成。原因说明没有免除法定验收要求，交易安排须明确设备确认、安装、申办及完成责任。</x:v>
      </x:c>
      <x:c r="D20" s="5" t="str">
        <x:v>嘉源_补充法律意见书二_20260923.pdf</x:v>
      </x:c>
      <x:c r="E20" s="5" t="str">
        <x:v>PDF第131、132、133、134页，关键词“412#机房楼”</x:v>
      </x:c>
      <x:c r="F20" s="5" t="str">
        <x:v>依据随附事实、程序和合同披露；未载事项待核</x:v>
      </x:c>
    </x:row>
    <x:row r="21" ht="115" customHeight="1">
      <x:c r="A21" s="5" t="n">
        <x:v>20</x:v>
      </x:c>
      <x:c r="B21" s="5" t="str">
        <x:v>其他验收瑕疵</x:v>
      </x:c>
      <x:c r="C21" s="5" t="str">
        <x:v>存瑞3期并机室仍欠竣工验收；桑园2期节能验收有未完成指标且未重新组织；灵丘9期节能验收未完成、设备尚在安装且未全投运。达到条件后办理的表述只是后续要求，不能记为已经通过。</x:v>
      </x:c>
      <x:c r="D21" s="5" t="str">
        <x:v>嘉源_补充法律意见书二_20260923.pdf</x:v>
      </x:c>
      <x:c r="E21" s="5" t="str">
        <x:v>PDF第131、133页，关键词“部分数值暂未验收”</x:v>
      </x:c>
      <x:c r="F21" s="5" t="str">
        <x:v>依据随附事实、程序和合同披露；未载事项待核</x:v>
      </x:c>
    </x:row>
    <x:row r="22" ht="115" customHeight="1">
      <x:c r="A22" s="5" t="n">
        <x:v>21</x:v>
      </x:c>
      <x:c r="B22" s="5" t="str">
        <x:v>主管部门证明边界</x:v>
      </x:c>
      <x:c r="C22" s="5" t="str">
        <x:v>部门证明依监管事项、项目和出具期间有各自范围。无处罚、无重大违法或允许继续办理的说明不替代许可证和验收文书，也不保证将来无处罚；应查签发权限、覆盖范围及后续附加条件。</x:v>
      </x:c>
      <x:c r="D22" s="5" t="str">
        <x:v>嘉源_补充法律意见书二_20260923.pdf</x:v>
      </x:c>
      <x:c r="E22" s="5" t="str">
        <x:v>PDF第119、124、132、133、135、162页，关键词“正在办理”</x:v>
      </x:c>
      <x:c r="F22" s="5" t="str">
        <x:v>依据随附事实、程序和合同披露；未载事项待核</x:v>
      </x:c>
    </x:row>
    <x:row r="23" ht="115" customHeight="1">
      <x:c r="A23" s="5" t="n">
        <x:v>22</x:v>
      </x:c>
      <x:c r="B23" s="5" t="str">
        <x:v>办公室更新</x:v>
      </x:c>
      <x:c r="C23" s="5" t="str">
        <x:v>深圳旧办公场所158平方米的合同至2026-05-05并未续租，新场所310.12平方米，期限为2026-05-01至2029-05-31。属于办公室更新，不宜将其列为核心IDC机房到期风险或旧约续签。</x:v>
      </x:c>
      <x:c r="D23" s="5" t="str">
        <x:v>嘉源_补充法律意见书二_20260923.pdf</x:v>
      </x:c>
      <x:c r="E23" s="5" t="str">
        <x:v>PDF第136页，关键词“310.12”</x:v>
      </x:c>
      <x:c r="F23" s="5" t="str">
        <x:v>依据随附事实、程序和合同披露；未载事项待核</x:v>
      </x:c>
    </x:row>
    <x:row r="24" ht="115" customHeight="1">
      <x:c r="A24" s="5" t="n">
        <x:v>23</x:v>
      </x:c>
      <x:c r="B24" s="5" t="str">
        <x:v>租赁备案效力</x:v>
      </x:c>
      <x:c r="C24" s="5" t="str">
        <x:v>租赁未备案依民法典706条不影响合同效力。出租权限、建筑权属、用途、租赁期限、物业抵押及查封等负担和搬迁衔接仍需分别审核，取得出租权与抵押状况原始资料；备案缺失与无权出租或合同无效不是相同法律问题。不得仅据未备案推定无效，也不据合同有效保证物业无抵押或使用无障碍。</x:v>
      </x:c>
      <x:c r="D24" s="5" t="str">
        <x:v>民事法律及司法文件汇编.pdf</x:v>
      </x:c>
      <x:c r="E24" s="5" t="str">
        <x:v>PDF第116页，关键词“第七百零六条”</x:v>
      </x:c>
      <x:c r="F24" s="5" t="str">
        <x:v>《民法典》第706条</x:v>
      </x:c>
    </x:row>
    <x:row r="25" ht="115" customHeight="1">
      <x:c r="A25" s="5" t="n">
        <x:v>24</x:v>
      </x:c>
      <x:c r="B25" s="5" t="str">
        <x:v>闲置及延期证据</x:v>
      </x:c>
      <x:c r="C25" s="5" t="str">
        <x:v>三宗开工较晚或投资强度不足土地另有部门说明，仍宜收齐开竣工条款、延期批准及实际投资建设材料。围挡、启动施工或无重大违法证明不足以保证完全没有闲置土地处置和出让合同责任。</x:v>
      </x:c>
      <x:c r="D25" s="5" t="str">
        <x:v>嘉源_补充法律意见书二_20260923.pdf</x:v>
      </x:c>
      <x:c r="E25" s="5" t="str">
        <x:v>PDF第136页，关键词“投资强度不低于”</x:v>
      </x:c>
      <x:c r="F25" s="5" t="str">
        <x:v>依据随附事实、程序和合同披露；未载事项待核</x:v>
      </x:c>
    </x:row>
    <x:row r="26" ht="115" customHeight="1">
      <x:c r="A26" s="5" t="n">
        <x:v>25</x:v>
      </x:c>
      <x:c r="B26" s="5" t="str">
        <x:v>VIE解除与主体存续</x:v>
      </x:c>
      <x:c r="C26" s="5" t="str">
        <x:v>VIE控制协议终止及质押注销不等于相关公司本身已注销。境内相关法人及部分境外主体仍存续，律师意见将其称为VIE拆除而非完整红筹拆除；应查各项登记与存续记录。</x:v>
      </x:c>
      <x:c r="D26" s="5" t="str">
        <x:v>嘉源_补充法律意见书二_20260923.pdf</x:v>
      </x:c>
      <x:c r="E26" s="5" t="str">
        <x:v>PDF第79页，关键词“不属于完整的红筹架构拆除”</x:v>
      </x:c>
      <x:c r="F26" s="5" t="str">
        <x:v>依据随附事实、程序和合同披露；未载事项待核</x:v>
      </x:c>
    </x:row>
    <x:row r="27" ht="115" customHeight="1">
      <x:c r="A27" s="5" t="n">
        <x:v>26</x:v>
      </x:c>
      <x:c r="B27" s="5" t="str">
        <x:v>VIE日期差异</x:v>
      </x:c>
      <x:c r="C27" s="5" t="str">
        <x:v>前次交易以2026-01-16为交割和付款节点，河北秦数质押解除为1月30日，股权转让及终止协议又记4月22日。合同定义、付款交割和行政登记是不同阶段，不能将所有法律手续统一认定于1月16日完成。</x:v>
      </x:c>
      <x:c r="D27" s="5" t="str">
        <x:v>嘉源_补充法律意见书二_20260923.pdf</x:v>
      </x:c>
      <x:c r="E27" s="5" t="str">
        <x:v>PDF第58、76页，关键词“2026年4月22”</x:v>
      </x:c>
      <x:c r="F27" s="5" t="str">
        <x:v>依据随附事实、程序和合同披露；未载事项待核</x:v>
      </x:c>
    </x:row>
    <x:row r="28" ht="115" customHeight="1">
      <x:c r="A28" s="5" t="n">
        <x:v>27</x:v>
      </x:c>
      <x:c r="B28" s="5" t="str">
        <x:v>知识产权终止差异</x:v>
      </x:c>
      <x:c r="C28" s="5" t="str">
        <x:v>2025-08-31终止的安排涉及原专利、共有、商标、软件、商业秘密及许可等多类协议；河北秦淮独有专利有特定承接约定。需逐项查权利及后续登记，不宜称所有知识产权被收回或所有无偿许可永久延续。</x:v>
      </x:c>
      <x:c r="D28" s="5" t="str">
        <x:v>嘉源_补充法律意见书二_20260923.pdf</x:v>
      </x:c>
      <x:c r="E28" s="5" t="str">
        <x:v>PDF第129、130页，关键词“2025年8月31”</x:v>
      </x:c>
      <x:c r="F28" s="5" t="str">
        <x:v>依据随附事实、程序和合同披露；未载事项待核</x:v>
      </x:c>
    </x:row>
    <x:row r="29" ht="115" customHeight="1">
      <x:c r="A29" s="5" t="n">
        <x:v>28</x:v>
      </x:c>
      <x:c r="B29" s="5" t="str">
        <x:v>银行同意更新</x:v>
      </x:c>
      <x:c r="C29" s="5" t="str">
        <x:v>最新意见称截至2026-08-31借款特殊条款已经整理，并于出具日前获得全部应取得银行同意。交割须核对同意原件、交易覆盖、期限及附加条件，不应沿用“全部尚未取得”的旧结论，也不能据转述保证每项无条件。</x:v>
      </x:c>
      <x:c r="D29" s="5" t="str">
        <x:v>嘉源_补充法律意见书二_20260923.pdf</x:v>
      </x:c>
      <x:c r="E29" s="5" t="str">
        <x:v>PDF第92页，关键词“全部需取得的银行债权人同意”</x:v>
      </x:c>
      <x:c r="F29" s="5" t="str">
        <x:v>依据随附事实、程序和合同披露；未载事项待核</x:v>
      </x:c>
    </x:row>
    <x:row r="30" ht="115" customHeight="1">
      <x:c r="A30" s="5" t="n">
        <x:v>29</x:v>
      </x:c>
      <x:c r="B30" s="5" t="str">
        <x:v>竞业限制边界</x:v>
      </x:c>
      <x:c r="C30" s="5" t="str">
        <x:v>前次协议自2026-01-16交割起五年，分别约束目标公司在中国大陆以外的约定业务及相关卖方在中国大陆的实质竞争业务，并有符合条件的上市公司少数股权投资例外。员工不招揽义务另有员工主动离职、非针对员工的一般招聘广告、未受指示针对该员工的猎头招聘等例外。须核对合同触发主体、业务范围和例外，不扩大成永久全球禁业或禁止所有招聘。</x:v>
      </x:c>
      <x:c r="D30" s="5" t="str">
        <x:v>嘉源_补充法律意见书二_20260923.pdf</x:v>
      </x:c>
      <x:c r="E30" s="5" t="str">
        <x:v>PDF第65、67页，关键词“五年内”</x:v>
      </x:c>
      <x:c r="F30" s="5" t="str">
        <x:v>依据随附事实、程序和合同披露；未载事项待核</x:v>
      </x:c>
    </x:row>
    <x:row r="31" ht="115" customHeight="1">
      <x:c r="A31" s="5" t="n">
        <x:v>30</x:v>
      </x:c>
      <x:c r="B31" s="5" t="str">
        <x:v>对赌与历史赔偿</x:v>
      </x:c>
      <x:c r="C31" s="5" t="str">
        <x:v>固定价款已支付，历史陈述保证、锁箱价值损漏及责任安排不以未来业绩为触发，律师据此区分于业绩对赌。历史瑕疵赔偿不是未来经营利润的无条件保底。</x:v>
      </x:c>
      <x:c r="D31" s="5" t="str">
        <x:v>嘉源_补充法律意见书二_20260923.pdf</x:v>
      </x:c>
      <x:c r="E31" s="5" t="str">
        <x:v>PDF第67页，关键词“不属于业绩承诺或对赌安排”</x:v>
      </x:c>
      <x:c r="F31" s="5" t="str">
        <x:v>依据随附事实、程序和合同披露；未载事项待核</x:v>
      </x:c>
    </x:row>
    <x:row r="32" ht="115" customHeight="1">
      <x:c r="A32" s="5" t="n">
        <x:v>31</x:v>
      </x:c>
      <x:c r="B32" s="5" t="str">
        <x:v>索赔期限和已知事项</x:v>
      </x:c>
      <x:c r="C32" s="5" t="str">
        <x:v>原则上交割后12个月内提出权利主张，价值损漏与欺诈另有例外；另受已知已披露排除、减损及不得重复获偿等条款约束。应先确认拟交易主体能否承继索赔权，再谈保障，不能保证所有已披露风险均可无限追索。</x:v>
      </x:c>
      <x:c r="D32" s="5" t="str">
        <x:v>嘉源_补充法律意见书二_20260923.pdf</x:v>
      </x:c>
      <x:c r="E32" s="5" t="str">
        <x:v>PDF第66页，关键词“交割日后12个月”</x:v>
      </x:c>
      <x:c r="F32" s="5" t="str">
        <x:v>依据随附事实、程序和合同披露；未载事项待核</x:v>
      </x:c>
    </x:row>
    <x:row r="33" ht="115" customHeight="1">
      <x:c r="A33" s="5" t="n">
        <x:v>32</x:v>
      </x:c>
      <x:c r="B33" s="5" t="str">
        <x:v>审批结论证据级别</x:v>
      </x:c>
      <x:c r="C33" s="5" t="str">
        <x:v>股东会见证意见限于相应会议的召集、资格和表决，不覆盖项目权属、许可、估值及最终注册全部事项。本次亦尚未完成实地或登记数据库核验，应区分披露转述、原件查验及后续核查。</x:v>
      </x:c>
      <x:c r="D33" s="5" t="str">
        <x:v>深天成_股东会法律意见_20260923.pdf</x:v>
      </x:c>
      <x:c r="E33" s="5" t="str">
        <x:v>PDF第3页，关键词“表决”</x:v>
      </x:c>
      <x:c r="F33" s="5" t="str">
        <x:v>依据随附事实、程序和合同披露；未载事项待核</x:v>
      </x:c>
    </x:row>
    <x:row r="34" ht="115" customHeight="1">
      <x:c r="A34" s="5" t="n">
        <x:v>33</x:v>
      </x:c>
      <x:c r="B34" s="5" t="str">
        <x:v>交割条件与后续承诺</x:v>
      </x:c>
      <x:c r="C34" s="5" t="str">
        <x:v>将必要审批同意、无新增冻结违约和重要运营条件作为交割前核实事项。可延后证照整改应约定责任人、期限、报告及救济；材料未给出的罚款、整改完成日、估值折扣和风险概率仍待专业依据，不能随意量化。</x:v>
      </x:c>
      <x:c r="D34" s="5" t="str">
        <x:v>嘉源_补充法律意见书二_20260923.pdf</x:v>
      </x:c>
      <x:c r="E34" s="5" t="str">
        <x:v>PDF第59、63、88页，关键词“不存在影响”</x:v>
      </x:c>
      <x:c r="F34" s="5" t="str">
        <x:v>依据随附事实、程序和合同披露；未载事项待核</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27" hidden="0" customWidth="1"/>
    <x:col min="3" max="3" width="55" hidden="0" customWidth="1"/>
    <x:col min="4" max="4" width="65" hidden="0" customWidth="1"/>
  </x:cols>
  <x:sheetData>
    <x:row r="1" ht="32" customHeight="1">
      <x:c r="A1" s="7" t="str">
        <x:v>统计项目</x:v>
      </x:c>
      <x:c r="B1" s="7" t="str">
        <x:v>原始值或计算结果</x:v>
      </x:c>
      <x:c r="C1" s="7" t="str">
        <x:v>单位</x:v>
      </x:c>
      <x:c r="D1" s="7" t="str">
        <x:v>口径</x:v>
      </x:c>
    </x:row>
    <x:row r="2" ht="42" customHeight="1">
      <x:c r="A2" s="5" t="str">
        <x:v>一级子公司</x:v>
      </x:c>
      <x:c r="B2" s="13" t="n">
        <x:v>12</x:v>
      </x:c>
      <x:c r="C2" s="5" t="str">
        <x:v>家</x:v>
      </x:c>
      <x:c r="D2" s="5" t="str">
        <x:v>东数三号下秦淮层级，不含上层控股平台</x:v>
      </x:c>
    </x:row>
    <x:row r="3" ht="42" customHeight="1">
      <x:c r="A3" s="5" t="str">
        <x:v>二级子公司</x:v>
      </x:c>
      <x:c r="B3" s="13" t="n">
        <x:v>93</x:v>
      </x:c>
      <x:c r="C3" s="5" t="str">
        <x:v>家</x:v>
      </x:c>
      <x:c r="D3" s="5" t="str">
        <x:v>最新補充意见</x:v>
      </x:c>
    </x:row>
    <x:row r="4" ht="42" customHeight="1">
      <x:c r="A4" s="5" t="str">
        <x:v>三级子公司</x:v>
      </x:c>
      <x:c r="B4" s="13" t="n">
        <x:v>9</x:v>
      </x:c>
      <x:c r="C4" s="5" t="str">
        <x:v>家</x:v>
      </x:c>
      <x:c r="D4" s="5" t="str">
        <x:v>最新補充意见</x:v>
      </x:c>
    </x:row>
    <x:row r="5" ht="42" customHeight="1">
      <x:c r="A5" s="5" t="str">
        <x:v>二三级合计</x:v>
      </x:c>
      <x:c r="B5" s="13" t="n">
        <x:f>SUM(B3:B4)</x:f>
        <x:v>102</x:v>
      </x:c>
      <x:c r="C5" s="5" t="str">
        <x:v>家</x:v>
      </x:c>
      <x:c r="D5" s="5" t="str">
        <x:v>93+9</x:v>
      </x:c>
    </x:row>
    <x:row r="6" ht="42" customHeight="1">
      <x:c r="A6" s="5" t="str">
        <x:v>三层合计</x:v>
      </x:c>
      <x:c r="B6" s="13" t="n">
        <x:f>SUM(B2:B4)</x:f>
        <x:v>114</x:v>
      </x:c>
      <x:c r="C6" s="5" t="str">
        <x:v>家</x:v>
      </x:c>
      <x:c r="D6" s="5" t="str">
        <x:v>12+93+9</x:v>
      </x:c>
    </x:row>
    <x:row r="7" ht="42" customHeight="1">
      <x:c r="A7" s="5" t="str">
        <x:v>项目公司</x:v>
      </x:c>
      <x:c r="B7" s="13" t="n">
        <x:v>45</x:v>
      </x:c>
      <x:c r="C7" s="5" t="str">
        <x:v>家</x:v>
      </x:c>
      <x:c r="D7" s="5" t="str">
        <x:v>二三级内</x:v>
      </x:c>
    </x:row>
    <x:row r="8" ht="42" customHeight="1">
      <x:c r="A8" s="5" t="str">
        <x:v>职能公司</x:v>
      </x:c>
      <x:c r="B8" s="13" t="n">
        <x:v>11</x:v>
      </x:c>
      <x:c r="C8" s="5" t="str">
        <x:v>家</x:v>
      </x:c>
      <x:c r="D8" s="5" t="str">
        <x:v>二三级内</x:v>
      </x:c>
    </x:row>
    <x:row r="9" ht="42" customHeight="1">
      <x:c r="A9" s="5" t="str">
        <x:v>储备公司</x:v>
      </x:c>
      <x:c r="B9" s="13" t="n">
        <x:v>46</x:v>
      </x:c>
      <x:c r="C9" s="5" t="str">
        <x:v>家</x:v>
      </x:c>
      <x:c r="D9" s="5" t="str">
        <x:v>二三级内</x:v>
      </x:c>
    </x:row>
    <x:row r="10" ht="42" customHeight="1">
      <x:c r="A10" s="5" t="str">
        <x:v>按功能合计</x:v>
      </x:c>
      <x:c r="B10" s="13" t="n">
        <x:f>SUM(B7:B9)</x:f>
        <x:v>102</x:v>
      </x:c>
      <x:c r="C10" s="5" t="str">
        <x:v>家</x:v>
      </x:c>
      <x:c r="D10" s="5" t="str">
        <x:v>45+11+46</x:v>
      </x:c>
    </x:row>
    <x:row r="11" ht="42" customHeight="1">
      <x:c r="A11" s="5" t="str">
        <x:v>单一牌照</x:v>
      </x:c>
      <x:c r="B11" s="13" t="n">
        <x:v>8</x:v>
      </x:c>
      <x:c r="C11" s="5" t="str">
        <x:v>家</x:v>
      </x:c>
      <x:c r="D11" s="5" t="str">
        <x:v>项目公司职能分类</x:v>
      </x:c>
    </x:row>
    <x:row r="12" ht="42" customHeight="1">
      <x:c r="A12" s="5" t="str">
        <x:v>单一土地</x:v>
      </x:c>
      <x:c r="B12" s="13" t="n">
        <x:v>5</x:v>
      </x:c>
      <x:c r="C12" s="5" t="str">
        <x:v>家</x:v>
      </x:c>
      <x:c r="D12" s="5" t="str">
        <x:v>项目公司职能分类</x:v>
      </x:c>
    </x:row>
    <x:row r="13" ht="42" customHeight="1">
      <x:c r="A13" s="5" t="str">
        <x:v>单一机电</x:v>
      </x:c>
      <x:c r="B13" s="13" t="n">
        <x:v>16</x:v>
      </x:c>
      <x:c r="C13" s="5" t="str">
        <x:v>家</x:v>
      </x:c>
      <x:c r="D13" s="5" t="str">
        <x:v>项目公司职能分类</x:v>
      </x:c>
    </x:row>
    <x:row r="14" ht="42" customHeight="1">
      <x:c r="A14" s="5" t="str">
        <x:v>牌照兼机电</x:v>
      </x:c>
      <x:c r="B14" s="13" t="n">
        <x:v>1</x:v>
      </x:c>
      <x:c r="C14" s="5" t="str">
        <x:v>家</x:v>
      </x:c>
      <x:c r="D14" s="5" t="str">
        <x:v>兼任职能</x:v>
      </x:c>
    </x:row>
    <x:row r="15" ht="42" customHeight="1">
      <x:c r="A15" s="5" t="str">
        <x:v>土地兼机电</x:v>
      </x:c>
      <x:c r="B15" s="13" t="n">
        <x:v>15</x:v>
      </x:c>
      <x:c r="C15" s="5" t="str">
        <x:v>家</x:v>
      </x:c>
      <x:c r="D15" s="5" t="str">
        <x:v>兼任职能</x:v>
      </x:c>
    </x:row>
    <x:row r="16" ht="42" customHeight="1">
      <x:c r="A16" s="5" t="str">
        <x:v>五类去重合计</x:v>
      </x:c>
      <x:c r="B16" s="13" t="n">
        <x:f>SUM(B11:B15)</x:f>
        <x:v>45</x:v>
      </x:c>
      <x:c r="C16" s="5" t="str">
        <x:v>家</x:v>
      </x:c>
      <x:c r="D16" s="5" t="str">
        <x:v>五类互斥分类加总</x:v>
      </x:c>
    </x:row>
    <x:row r="17" ht="42" customHeight="1">
      <x:c r="A17" s="5" t="str">
        <x:v>承担牌照职能</x:v>
      </x:c>
      <x:c r="B17" s="13" t="n">
        <x:f>B11+B14</x:f>
        <x:v>9</x:v>
      </x:c>
      <x:c r="C17" s="5" t="str">
        <x:v>家</x:v>
      </x:c>
      <x:c r="D17" s="5" t="str">
        <x:v>单一牌照+牌照兼机电</x:v>
      </x:c>
    </x:row>
    <x:row r="18" ht="42" customHeight="1">
      <x:c r="A18" s="5" t="str">
        <x:v>承担土地职能</x:v>
      </x:c>
      <x:c r="B18" s="13" t="n">
        <x:f>B12+B15</x:f>
        <x:v>20</x:v>
      </x:c>
      <x:c r="C18" s="5" t="str">
        <x:v>家</x:v>
      </x:c>
      <x:c r="D18" s="5" t="str">
        <x:v>单一土地+土地兼机电</x:v>
      </x:c>
    </x:row>
    <x:row r="19" ht="42" customHeight="1">
      <x:c r="A19" s="5" t="str">
        <x:v>承担机电职能</x:v>
      </x:c>
      <x:c r="B19" s="13" t="n">
        <x:f>B13+B14+B15</x:f>
        <x:v>32</x:v>
      </x:c>
      <x:c r="C19" s="5" t="str">
        <x:v>家</x:v>
      </x:c>
      <x:c r="D19" s="5" t="str">
        <x:v>单一机电+两类兼任</x:v>
      </x:c>
    </x:row>
    <x:row r="20" ht="42" customHeight="1"/>
    <x:row r="21" ht="42" customHeight="1"/>
    <x:row r="22" ht="32" customHeight="1">
      <x:c r="A22" s="7" t="str">
        <x:v>未办证土地</x:v>
      </x:c>
      <x:c r="B22" s="7" t="str">
        <x:v>面积（平方米）</x:v>
      </x:c>
      <x:c r="C22" s="7" t="str">
        <x:v>权利人</x:v>
      </x:c>
      <x:c r="D22" s="7" t="str">
        <x:v>最新清单来源</x:v>
      </x:c>
    </x:row>
    <x:row r="23" ht="42" customHeight="1">
      <x:c r="A23" s="5" t="str">
        <x:v>存瑞</x:v>
      </x:c>
      <x:c r="B23" s="14" t="n">
        <x:v>11651.49</x:v>
      </x:c>
      <x:c r="C23" s="5" t="str">
        <x:v>河北秦淮</x:v>
      </x:c>
      <x:c r="D23" s="5" t="str">
        <x:v>补充法律意见PDF第135页</x:v>
      </x:c>
    </x:row>
    <x:row r="24" ht="42" customHeight="1">
      <x:c r="A24" s="5" t="str">
        <x:v>东花园</x:v>
      </x:c>
      <x:c r="B24" s="14" t="n">
        <x:v>12745.12</x:v>
      </x:c>
      <x:c r="C24" s="5" t="str">
        <x:v>河北秦淮</x:v>
      </x:c>
      <x:c r="D24" s="5" t="str">
        <x:v>补充法律意见PDF第135页</x:v>
      </x:c>
    </x:row>
    <x:row r="25" ht="42" customHeight="1">
      <x:c r="A25" s="5" t="str">
        <x:v>韶关供电用地</x:v>
      </x:c>
      <x:c r="B25" s="14" t="n">
        <x:v>4274.77</x:v>
      </x:c>
      <x:c r="C25" s="5" t="str">
        <x:v>韶关秦韶</x:v>
      </x:c>
      <x:c r="D25" s="5" t="str">
        <x:v>补充法律意见PDF第135页</x:v>
      </x:c>
    </x:row>
    <x:row r="26" ht="42" customHeight="1">
      <x:c r="A26" s="5" t="str">
        <x:v>三宗合计</x:v>
      </x:c>
      <x:c r="B26" s="14" t="n">
        <x:f>SUM(B23:B25)</x:f>
        <x:v>28671.38</x:v>
      </x:c>
      <x:c r="C26" s="5" t="str">
        <x:v>不据签约付款推定已办证</x:v>
      </x:c>
      <x:c r="D26" s="5" t="str">
        <x:v>规划/现有披露面积，权证实测另核</x:v>
      </x:c>
    </x:row>
    <x:row r="27" ht="42" customHeight="1"/>
    <x:row r="28" ht="42" customHeight="1"/>
    <x:row r="29" ht="32" customHeight="1">
      <x:c r="A29" s="7" t="str">
        <x:v>未办证房屋权利人</x:v>
      </x:c>
      <x:c r="B29" s="7" t="str">
        <x:v>面积（平方米）</x:v>
      </x:c>
      <x:c r="C29" s="7" t="str">
        <x:v>设施</x:v>
      </x:c>
      <x:c r="D29" s="7" t="str">
        <x:v>来源/口径</x:v>
      </x:c>
    </x:row>
    <x:row r="30" ht="42" customHeight="1">
      <x:c r="A30" s="5" t="str">
        <x:v>怀来斯达科</x:v>
      </x:c>
      <x:c r="B30" s="14" t="n">
        <x:v>152351.85</x:v>
      </x:c>
      <x:c r="C30" s="5" t="str">
        <x:v>1—3号楼、4—5动力中心等</x:v>
      </x:c>
      <x:c r="D30" s="5" t="str">
        <x:v>补充PDF第134页</x:v>
      </x:c>
    </x:row>
    <x:row r="31" ht="42" customHeight="1">
      <x:c r="A31" s="5" t="str">
        <x:v>怀来斯达铎</x:v>
      </x:c>
      <x:c r="B31" s="14" t="n">
        <x:v>19736.74</x:v>
      </x:c>
      <x:c r="C31" s="5" t="str">
        <x:v>412机房</x:v>
      </x:c>
      <x:c r="D31" s="5" t="str">
        <x:v>同上</x:v>
      </x:c>
    </x:row>
    <x:row r="32" ht="42" customHeight="1">
      <x:c r="A32" s="5" t="str">
        <x:v>河北秦淮</x:v>
      </x:c>
      <x:c r="B32" s="14" t="n">
        <x:v>3997.91</x:v>
      </x:c>
      <x:c r="C32" s="5" t="str">
        <x:v>运维楼等</x:v>
      </x:c>
      <x:c r="D32" s="5" t="str">
        <x:v>同上</x:v>
      </x:c>
    </x:row>
    <x:row r="33" ht="42" customHeight="1">
      <x:c r="A33" s="5" t="str">
        <x:v>怀来斯达俊</x:v>
      </x:c>
      <x:c r="B33" s="14" t="n">
        <x:v>296</x:v>
      </x:c>
      <x:c r="C33" s="5" t="str">
        <x:v>并机室</x:v>
      </x:c>
      <x:c r="D33" s="5" t="str">
        <x:v>同上</x:v>
      </x:c>
    </x:row>
    <x:row r="34" ht="42" customHeight="1">
      <x:c r="A34" s="5" t="str">
        <x:v>怀来斯达智</x:v>
      </x:c>
      <x:c r="B34" s="14" t="n">
        <x:v>901.72</x:v>
      </x:c>
      <x:c r="C34" s="5" t="str">
        <x:v>附属楼、配电装置楼</x:v>
      </x:c>
      <x:c r="D34" s="5" t="str">
        <x:v>同上</x:v>
      </x:c>
    </x:row>
    <x:row r="35" ht="42" customHeight="1">
      <x:c r="A35" s="5" t="str">
        <x:v>河北秦淮</x:v>
      </x:c>
      <x:c r="B35" s="14" t="n">
        <x:v>3311.49</x:v>
      </x:c>
      <x:c r="C35" s="5" t="str">
        <x:v>变电楼、水泵房</x:v>
      </x:c>
      <x:c r="D35" s="5" t="str">
        <x:v>同上</x:v>
      </x:c>
    </x:row>
    <x:row r="36" ht="42" customHeight="1">
      <x:c r="A36" s="5" t="str">
        <x:v>河北秦淮</x:v>
      </x:c>
      <x:c r="B36" s="14" t="n">
        <x:v>330.76</x:v>
      </x:c>
      <x:c r="C36" s="5" t="str">
        <x:v>运维楼及配电设施</x:v>
      </x:c>
      <x:c r="D36" s="5" t="str">
        <x:v>同上</x:v>
      </x:c>
    </x:row>
    <x:row r="37" ht="42" customHeight="1">
      <x:c r="A37" s="5" t="str">
        <x:v>江苏秦淮</x:v>
      </x:c>
      <x:c r="B37" s="14" t="n">
        <x:v>1311</x:v>
      </x:c>
      <x:c r="C37" s="5" t="str">
        <x:v>综合配电、消防设施</x:v>
      </x:c>
      <x:c r="D37" s="5" t="str">
        <x:v>同上</x:v>
      </x:c>
    </x:row>
    <x:row r="38" ht="42" customHeight="1">
      <x:c r="A38" s="5" t="str">
        <x:v>大同秦淮</x:v>
      </x:c>
      <x:c r="B38" s="14" t="n">
        <x:v>2186.31</x:v>
      </x:c>
      <x:c r="C38" s="5" t="str">
        <x:v>用户站</x:v>
      </x:c>
      <x:c r="D38" s="5" t="str">
        <x:v>同上</x:v>
      </x:c>
    </x:row>
    <x:row r="39" ht="42" customHeight="1">
      <x:c r="A39" s="5" t="str">
        <x:v>九行合计</x:v>
      </x:c>
      <x:c r="B39" s="14" t="n">
        <x:f>SUM(B30:B38)</x:f>
        <x:v>184423.78</x:v>
      </x:c>
      <x:c r="C39" s="5" t="str">
        <x:v>不等于九栋或九名权利人</x:v>
      </x:c>
      <x:c r="D39" s="5" t="str">
        <x:v>披露规划/手续面积，最终以权证为准</x:v>
      </x:c>
    </x:row>
    <x:row r="40" ht="42" customHeight="1"/>
    <x:row r="41" ht="42" customHeight="1"/>
    <x:row r="42" ht="32" customHeight="1">
      <x:c r="A42" s="7" t="str">
        <x:v>总部基地4期版本核对</x:v>
      </x:c>
      <x:c r="B42" s="7" t="str">
        <x:v>面积（平方米）</x:v>
      </x:c>
      <x:c r="C42" s="7" t="str">
        <x:v>状态</x:v>
      </x:c>
      <x:c r="D42" s="7" t="str">
        <x:v>来源</x:v>
      </x:c>
    </x:row>
    <x:row r="43" ht="42" customHeight="1">
      <x:c r="A43" s="5" t="str">
        <x:v>报告期末三栋合计</x:v>
      </x:c>
      <x:c r="B43" s="14" t="n">
        <x:v>40583.28</x:v>
      </x:c>
      <x:c r="C43" s="5" t="str">
        <x:v>旧表口径</x:v>
      </x:c>
      <x:c r="D43" s="5" t="str">
        <x:v>6月扫描意见PDF第96—97页；7月意见PDF第95—96页</x:v>
      </x:c>
    </x:row>
    <x:row r="44" ht="42" customHeight="1">
      <x:c r="A44" s="5" t="str">
        <x:v>411已办证面积</x:v>
      </x:c>
      <x:c r="B44" s="14" t="n">
        <x:v>17440.42</x:v>
      </x:c>
      <x:c r="C44" s="5" t="str">
        <x:v>第005189号权证</x:v>
      </x:c>
      <x:c r="D44" s="5" t="str">
        <x:v>6月扫描意见PDF第97页</x:v>
      </x:c>
    </x:row>
    <x:row r="45" ht="42" customHeight="1">
      <x:c r="A45" s="5" t="str">
        <x:v>413已办证面积</x:v>
      </x:c>
      <x:c r="B45" s="14" t="n">
        <x:v>3406.12</x:v>
      </x:c>
      <x:c r="C45" s="5" t="str">
        <x:v>第005190号权证</x:v>
      </x:c>
      <x:c r="D45" s="5" t="str">
        <x:v>6月扫描意见PDF第97页</x:v>
      </x:c>
    </x:row>
    <x:row r="46" ht="42" customHeight="1">
      <x:c r="A46" s="5" t="str">
        <x:v>411及413已办证合计</x:v>
      </x:c>
      <x:c r="B46" s="14" t="n">
        <x:f>SUM(B44:B45)</x:f>
        <x:v>20846.539999999997</x:v>
      </x:c>
      <x:c r="C46" s="5" t="str">
        <x:v>出具日更新</x:v>
      </x:c>
      <x:c r="D46" s="5" t="str">
        <x:v>两栋原始登记面积相加</x:v>
      </x:c>
    </x:row>
    <x:row r="47" ht="42" customHeight="1">
      <x:c r="A47" s="5" t="str">
        <x:v>412仍未办证</x:v>
      </x:c>
      <x:c r="B47" s="14" t="n">
        <x:f>B43-B46</x:f>
        <x:v>19736.74</x:v>
      </x:c>
      <x:c r="C47" s="5" t="str">
        <x:v>最新清单与差额一致</x:v>
      </x:c>
      <x:c r="D47" s="5" t="str">
        <x:v>9月补充意见PDF第134页</x:v>
      </x:c>
    </x:row>
    <x:row r="50" ht="32" customHeight="1">
      <x:c r="A50" s="7" t="str">
        <x:v>本次取得权益</x:v>
      </x:c>
      <x:c r="B50" s="7" t="str">
        <x:v>原始比例或计算值</x:v>
      </x:c>
      <x:c r="C50" s="7" t="str">
        <x:v>口径</x:v>
      </x:c>
      <x:c r="D50" s="7" t="str">
        <x:v>来源</x:v>
      </x:c>
    </x:row>
    <x:row r="51" ht="90" customHeight="1">
      <x:c r="A51" s="5" t="str">
        <x:v>直接股权</x:v>
      </x:c>
      <x:c r="B51" s="20" t="n">
        <x:v>0.6898</x:v>
      </x:c>
      <x:c r="C51" s="5" t="str">
        <x:v>东数一号</x:v>
      </x:c>
      <x:c r="D51" s="5" t="str">
        <x:v>东阳光重组报告书（修订稿）.pdf；PDF第9页起，检索“68.98”并对照相关章节</x:v>
      </x:c>
    </x:row>
    <x:row r="52" ht="90" customHeight="1">
      <x:c r="A52" s="5" t="str">
        <x:v>基金间接权益</x:v>
      </x:c>
      <x:c r="B52" s="20" t="n">
        <x:v>0.0102</x:v>
      </x:c>
      <x:c r="C52" s="5" t="str">
        <x:v>对应东数一号底层股权</x:v>
      </x:c>
      <x:c r="D52" s="5" t="str">
        <x:v>共创一号、二号基金份额对应权益</x:v>
      </x:c>
    </x:row>
    <x:row r="53" ht="90" customHeight="1">
      <x:c r="A53" s="5" t="str">
        <x:v>股权合计</x:v>
      </x:c>
      <x:c r="B53" s="20" t="n">
        <x:f>SUM(B51:B52)</x:f>
        <x:v>0.7</x:v>
      </x:c>
      <x:c r="C53" s="5" t="str">
        <x:v>本次70%权益</x:v>
      </x:c>
      <x:c r="D53" s="5" t="str">
        <x:v>直接及间接权益相加</x:v>
      </x:c>
    </x:row>
    <x:row r="54" ht="90" customHeight="1">
      <x:c r="A54" s="5" t="str">
        <x:v>受让基金份额</x:v>
      </x:c>
      <x:c r="B54" s="20" t="n">
        <x:v>1</x:v>
      </x:c>
      <x:c r="C54" s="5" t="str">
        <x:v>基金层面100%</x:v>
      </x:c>
      <x:c r="D54" s="5" t="str">
        <x:v>与底层股权1.02%分别识别</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85" hidden="0" customWidth="1"/>
    <x:col min="3" max="3" width="30" hidden="0" customWidth="1"/>
    <x:col min="4" max="4" width="85" hidden="0" customWidth="1"/>
    <x:col min="5" max="5" width="35" hidden="0" customWidth="1"/>
  </x:cols>
  <x:sheetData>
    <x:row r="1" ht="32" customHeight="1">
      <x:c r="A1" s="7" t="str">
        <x:v>事项</x:v>
      </x:c>
      <x:c r="B1" s="7" t="str">
        <x:v>所需原始凭证/文件</x:v>
      </x:c>
      <x:c r="C1" s="7" t="str">
        <x:v>建议时点</x:v>
      </x:c>
      <x:c r="D1" s="7" t="str">
        <x:v>决策影响/救济</x:v>
      </x:c>
      <x:c r="E1" s="7" t="str">
        <x:v>建议责任角色</x:v>
      </x:c>
    </x:row>
    <x:row r="2" ht="92" customHeight="1">
      <x:c r="A2" s="5" t="str">
        <x:v>交易范围与审批</x:v>
      </x:c>
      <x:c r="B2" s="5" t="str">
        <x:v>股权/份额协议、必要内部决议、审核注册和交割文件</x:v>
      </x:c>
      <x:c r="C2" s="5" t="str">
        <x:v>交割前</x:v>
      </x:c>
      <x:c r="D2" s="5" t="str">
        <x:v>明确直接及间接权益范围，不能用前次交割代替本次批准</x:v>
      </x:c>
      <x:c r="E2" s="5" t="str">
        <x:v>交易团队</x:v>
      </x:c>
    </x:row>
    <x:row r="3" ht="92" customHeight="1">
      <x:c r="A3" s="5" t="str">
        <x:v>银行控制权同意</x:v>
      </x:c>
      <x:c r="B3" s="5" t="str">
        <x:v>银行同意原件、有效期、适用交易及附加条件</x:v>
      </x:c>
      <x:c r="C3" s="5" t="str">
        <x:v>交割前</x:v>
      </x:c>
      <x:c r="D3" s="5" t="str">
        <x:v>核对最新称已取得的全部必要同意，确认无新增触发</x:v>
      </x:c>
      <x:c r="E3" s="5" t="str">
        <x:v>融资团队及贷款银行</x:v>
      </x:c>
    </x:row>
    <x:row r="4" ht="92" customHeight="1">
      <x:c r="A4" s="5" t="str">
        <x:v>项目许可映射</x:v>
      </x:c>
      <x:c r="B4" s="5" t="str">
        <x:v>各项目持牌公司许可证及范围、地址、期限、运营合同</x:v>
      </x:c>
      <x:c r="C4" s="5" t="str">
        <x:v>交割前</x:v>
      </x:c>
      <x:c r="D4" s="5" t="str">
        <x:v>土地机电与持牌主体配对，避免依赖错误法人资质</x:v>
      </x:c>
      <x:c r="E4" s="5" t="str">
        <x:v>业务运营及法务</x:v>
      </x:c>
    </x:row>
    <x:row r="5" ht="92" customHeight="1">
      <x:c r="A5" s="5" t="str">
        <x:v>权证和抵押</x:v>
      </x:c>
      <x:c r="B5" s="5" t="str">
        <x:v>三宗未办证土地出让/缴款资料、九行房屋登记进展、现存抵押原件</x:v>
      </x:c>
      <x:c r="C5" s="5" t="str">
        <x:v>交割前明确清单</x:v>
      </x:c>
      <x:c r="D5" s="5" t="str">
        <x:v>可延后办证需约定办理节点、责任及救济；重大运营障碍未解决不交割</x:v>
      </x:c>
      <x:c r="E5" s="5" t="str">
        <x:v>资产管理及法务</x:v>
      </x:c>
    </x:row>
    <x:row r="6" ht="92" customHeight="1">
      <x:c r="A6" s="5" t="str">
        <x:v>验收与整改</x:v>
      </x:c>
      <x:c r="B6" s="5" t="str">
        <x:v>环评、消防、竣工/备案、节能的项目清单、原始证照及主管说明</x:v>
      </x:c>
      <x:c r="C6" s="5" t="str">
        <x:v>交割前确定安排</x:v>
      </x:c>
      <x:c r="D6" s="5" t="str">
        <x:v>证明覆盖范围单列；遗留事项逐项取得验收而非仅收无处罚说明</x:v>
      </x:c>
      <x:c r="E6" s="5" t="str">
        <x:v>工程团队</x:v>
      </x:c>
    </x:row>
    <x:row r="7" ht="92" customHeight="1">
      <x:c r="A7" s="5" t="str">
        <x:v>VIE及前次交割</x:v>
      </x:c>
      <x:c r="B7" s="5" t="str">
        <x:v>终止/解除协议、质押注销、工商变更、支付和税务凭证</x:v>
      </x:c>
      <x:c r="C7" s="5" t="str">
        <x:v>交割前</x:v>
      </x:c>
      <x:c r="D7" s="5" t="str">
        <x:v>核实分阶段交割定义及1月/4月日期差异，不混同公司注销</x:v>
      </x:c>
      <x:c r="E7" s="5" t="str">
        <x:v>交易法务</x:v>
      </x:c>
    </x:row>
    <x:row r="8" ht="92" customHeight="1">
      <x:c r="A8" s="5" t="str">
        <x:v>知识产权及租赁</x:v>
      </x:c>
      <x:c r="B8" s="5" t="str">
        <x:v>终止协议、专利转让登记、共有使用及新办公室租约</x:v>
      </x:c>
      <x:c r="C8" s="5" t="str">
        <x:v>交割前/约定后续期</x:v>
      </x:c>
      <x:c r="D8" s="5" t="str">
        <x:v>区分每种权利与替代安排，补齐合理使用和搬迁衔接</x:v>
      </x:c>
      <x:c r="E8" s="5" t="str">
        <x:v>知识产权及行政团队</x:v>
      </x:c>
    </x:row>
    <x:row r="9" ht="92" customHeight="1">
      <x:c r="A9" s="5" t="str">
        <x:v>历史责任与报告</x:v>
      </x:c>
      <x:c r="B9" s="5" t="str">
        <x:v>原卖方责任范围、12个月索赔期限及例外、整改报告和违约条款</x:v>
      </x:c>
      <x:c r="C9" s="5" t="str">
        <x:v>交割前签定</x:v>
      </x:c>
      <x:c r="D9" s="5" t="str">
        <x:v>已知/已披露事项排除、减损与不重复获偿；不得保证所有风险无限追索</x:v>
      </x:c>
      <x:c r="E9" s="5" t="str">
        <x:v>交易法务</x:v>
      </x:c>
    </x:row>
  </x:sheetData>
  <x:pageMargins left="0.7" right="0.7" top="0.75" bottom="0.75" header="0.3" footer="0.3"/>
</x: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file>