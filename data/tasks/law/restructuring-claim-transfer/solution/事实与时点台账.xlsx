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e4fb55576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取数" sheetId="1" r:id="R2bd7dafdcbee4f05"/>
    <x:sheet xmlns:r="http://schemas.openxmlformats.org/officeDocument/2006/relationships" name="核对测算" sheetId="2" r:id="Re339dbb3ad584916"/>
    <x:sheet xmlns:r="http://schemas.openxmlformats.org/officeDocument/2006/relationships" name="时点台账" sheetId="3" r:id="Rd51f4786ba354e81"/>
    <x:sheet xmlns:r="http://schemas.openxmlformats.org/officeDocument/2006/relationships" name="后续处理" sheetId="4" r:id="Rbf88fe8b4f7a44bd"/>
    <x:sheet xmlns:r="http://schemas.openxmlformats.org/officeDocument/2006/relationships" name="资料索引" sheetId="5" r:id="Rec2429ff5b9e4f74"/>
    <x:sheet xmlns:r="http://schemas.openxmlformats.org/officeDocument/2006/relationships" name="规则及假设" sheetId="6" r:id="Re747b02606364369"/>
    <x:sheet xmlns:r="http://schemas.openxmlformats.org/officeDocument/2006/relationships" name="信托资源边界" sheetId="7" r:id="R90d5ff795cd3416f"/>
    <x:sheet xmlns:r="http://schemas.openxmlformats.org/officeDocument/2006/relationships" name="受让与对价边界" sheetId="8" r:id="R6898606cb1784cc2"/>
    <x:sheet xmlns:r="http://schemas.openxmlformats.org/officeDocument/2006/relationships" name="分类办理条件" sheetId="9" r:id="R133d50655dac4cc5"/>
  </x:sheets>
</x:workbook>
</file>

<file path=xl/sharedStrings.xml><?xml version="1.0" encoding="utf-8"?>
<x:sst xmlns:x="http://schemas.openxmlformats.org/spreadsheetml/2006/main">
  <x:si>
    <x:t xml:space="preserve">代号</x:t>
  </x:si>
  <x:si>
    <x:t xml:space="preserve">事项</x:t>
  </x:si>
  <x:si>
    <x:t xml:space="preserve">原始值</x:t>
  </x:si>
  <x:si>
    <x:t xml:space="preserve">单位</x:t>
  </x:si>
  <x:si>
    <x:t xml:space="preserve">公开文件与定位</x:t>
  </x:si>
  <x:si>
    <x:t xml:space="preserve">口径</x:t>
  </x:si>
  <x:si>
    <x:t xml:space="preserve">base</x:t>
  </x:si>
  <x:si>
    <x:t xml:space="preserve">评估基准日</x:t>
  </x:si>
  <x:si>
    <x:t xml:space="preserve">日期</x:t>
  </x:si>
  <x:si>
    <x:t xml:space="preserve">据委托函</x:t>
  </x:si>
  <x:si>
    <x:t xml:space="preserve">原文列示</x:t>
  </x:si>
  <x:si>
    <x:t xml:space="preserve">due</x:t>
  </x:si>
  <x:si>
    <x:t xml:space="preserve">成果提交日</x:t>
  </x:si>
  <x:si>
    <x:t xml:space="preserve">letter</x:t>
  </x:si>
  <x:si>
    <x:t xml:space="preserve">委托函日期</x:t>
  </x:si>
  <x:si>
    <x:t xml:space="preserve">intent</x:t>
  </x:si>
  <x:si>
    <x:t xml:space="preserve">意向签署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</x:si>
  <x:si>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</x:si>
  <x:si>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pre</x:t>
  </x:si>
  <x:si>
    <x:t xml:space="preserve">启动预重整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</x:si>
  <x:si>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</x:si>
  <x:si>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accept</x:t>
  </x:si>
  <x:si>
    <x:t xml:space="preserve">受理重整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</x:si>
  <x:si>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23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</x:si>
  <x:si>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signa</x:t>
  </x:si>
  <x:si>
    <x:t xml:space="preserve">投资协议签署起日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</x:si>
  <x:si>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</x:si>
  <x:si>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signb</x:t>
  </x:si>
  <x:si>
    <x:t xml:space="preserve">投资协议签署止日</x:t>
  </x:si>
  <x:si>
    <x:t xml:space="preserve">draftdate</x:t>
  </x:si>
  <x:si>
    <x:t xml:space="preserve">草案落款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</x:si>
  <x:si>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重整计划草案</x:t>
    </x:r>
    <x:r>
      <x:rPr>
        <x:sz val="10"/>
        <x:color rgb="FF202D38"/>
        <x:rFont val="Arial"/>
      </x:rPr>
      <x:t xml:space="preserve">_2023-11-11.pdf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</x:si>
  <x:si>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draftpub</x:t>
  </x:si>
  <x:si>
    <x:t xml:space="preserve">草案披露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</x:si>
  <x:si>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重整计划草案</x:t>
    </x:r>
    <x:r>
      <x:rPr>
        <x:sz val="10"/>
        <x:color rgb="FF202D38"/>
        <x:rFont val="Arial"/>
      </x:rPr>
      <x:t xml:space="preserve">_2023-11-11.pdf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</x:si>
  <x:si>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plandate</x:t>
  </x:si>
  <x:si>
    <x:t xml:space="preserve">正式稿落款及会议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</x:si>
  <x:si>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</x:si>
  <x:si>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approved</x:t>
  </x:si>
  <x:si>
    <x:t xml:space="preserve">批准计划及监督确认口径日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</x:si>
  <x:si>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</x:si>
  <x:si>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planpub</x:t>
  </x:si>
  <x:si>
    <x:t xml:space="preserve">正式稿披露</x:t>
  </x:si>
  <x:si>
    <x:t xml:space="preserve">asset</x:t>
  </x:si>
  <x:si>
    <x:t xml:space="preserve">向经营平台转让资产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</x:si>
  <x:si>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46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</x:si>
  <x:si>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trustsign</x:t>
  </x:si>
  <x:si>
    <x:t xml:space="preserve">签信托合同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</x:si>
  <x:si>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</x:si>
  <x:si>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monitor</x:t>
  </x:si>
  <x:si>
    <x:t xml:space="preserve">监督报告截止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</x:si>
  <x:si>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</x:si>
  <x:si>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finish</x:t>
  </x:si>
  <x:si>
    <x:t xml:space="preserve">法院确认执行完毕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</x:si>
  <x:si>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10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</x:si>
  <x:si>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trust</x:t>
  </x:si>
  <x:si>
    <x:t xml:space="preserve">信托成立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</x:si>
  <x:si>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47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</x:si>
  <x:si>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transfer</x:t>
  </x:si>
  <x:si>
    <x:t xml:space="preserve">首次向投资人及债权人划转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</x:si>
  <x:si>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49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</x:si>
  <x:si>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end23</x:t>
  </x:si>
  <x:si>
    <x:r>
      <x:rPr>
        <x:sz val="10"/>
        <x:color rgb="FF202D38"/>
        <x:rFont val="Arial"/>
      </x:rPr>
      <x:t xml:space="preserve">2023</x:t>
    </x:r>
    <x:r>
      <x:rPr>
        <x:sz val="10"/>
        <x:color rgb="FF202D38"/>
        <x:rFont val="PingFang SC"/>
        <x:family val="2"/>
      </x:rPr>
      <x:t xml:space="preserve">年末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</x:si>
  <x:si>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_2023</x:t>
    </x:r>
    <x:r>
      <x:rPr>
        <x:sz val="10"/>
        <x:color rgb="FF202D38"/>
        <x:rFont val="PingFang SC"/>
        <x:family val="2"/>
      </x:rPr>
      <x:t xml:space="preserve">年年度报告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89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</x:si>
  <x:si>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batch2</x:t>
  </x:si>
  <x:si>
    <x:t xml:space="preserve">第二批抵债股划转</x:t>
  </x:si>
  <x:si>
    <x:t xml:space="preserve">batch3</x:t>
  </x:si>
  <x:si>
    <x:t xml:space="preserve">第三批抵债股划转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</x:si>
  <x:si>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54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</x:si>
  <x:si>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special</x:t>
  </x:si>
  <x:si>
    <x:t xml:space="preserve">非标专项签章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</x:si>
  <x:si>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非标意见消除专项说明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</x:si>
  <x:si>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specialpub</x:t>
  </x:si>
  <x:si>
    <x:t xml:space="preserve">非标专项披露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</x:si>
  <x:si>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非标意见消除专项说明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</x:si>
  <x:si>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reply</x:t>
  </x:si>
  <x:si>
    <x:t xml:space="preserve">问询回复披露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</x:si>
  <x:si>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会计师问询回复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</x:si>
  <x:si>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end24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</x:si>
  <x:si>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年末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</x:si>
  <x:si>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_2024</x:t>
    </x:r>
    <x:r>
      <x:rPr>
        <x:sz val="10"/>
        <x:color rgb="FF202D38"/>
        <x:rFont val="PingFang SC"/>
        <x:family val="2"/>
      </x:rPr>
      <x:t xml:space="preserve">年年度报告</x:t>
    </x:r>
    <x:r>
      <x:rPr>
        <x:sz val="10"/>
        <x:color rgb="FF202D38"/>
        <x:rFont val="Arial"/>
      </x:rPr>
      <x:t xml:space="preserve">_2025-04-22.pdf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67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</x:si>
  <x:si>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mid25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</x:si>
  <x:si>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年中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</x:si>
  <x:si>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_2025</x:t>
    </x:r>
    <x:r>
      <x:rPr>
        <x:sz val="10"/>
        <x:color rgb="FF202D38"/>
        <x:rFont val="PingFang SC"/>
        <x:family val="2"/>
      </x:rPr>
      <x:t xml:space="preserve">年半年度报告</x:t>
    </x:r>
    <x:r>
      <x:rPr>
        <x:sz val="10"/>
        <x:color rgb="FF202D38"/>
        <x:rFont val="Arial"/>
      </x:rPr>
      <x:t xml:space="preserve">_2025-08-22.pdf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</x:si>
  <x:si>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end25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</x:si>
  <x:si>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年末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</x:si>
  <x:si>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_2025</x:t>
    </x:r>
    <x:r>
      <x:rPr>
        <x:sz val="10"/>
        <x:color rgb="FF202D38"/>
        <x:rFont val="PingFang SC"/>
        <x:family val="2"/>
      </x:rPr>
      <x:t xml:space="preserve">年年度报告</x:t>
    </x:r>
    <x:r>
      <x:rPr>
        <x:sz val="10"/>
        <x:color rgb="FF202D38"/>
        <x:rFont val="Arial"/>
      </x:rPr>
      <x:t xml:space="preserve">_2026-04-24.pdf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61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</x:si>
  <x:si>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mediated</x:t>
  </x:si>
  <x:si>
    <x:t xml:space="preserve">收到宝嘉调解书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</x:si>
  <x:si>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20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</x:si>
  <x:si>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mediatedpub</x:t>
  </x:si>
  <x:si>
    <x:t xml:space="preserve">宝嘉调解公告</x:t>
  </x:si>
  <x:si>
    <x:t xml:space="preserve">latest</x:t>
  </x:si>
  <x:si>
    <x:t xml:space="preserve">最新累计诉讼公告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</x:si>
  <x:si>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23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</x:si>
  <x:si>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rule22</x:t>
  </x:si>
  <x:si>
    <x:r>
      <x:rPr>
        <x:sz val="10"/>
        <x:color rgb="FF202D38"/>
        <x:rFont val="PingFang SC"/>
        <x:family val="2"/>
      </x:rPr>
      <x:t xml:space="preserve">交易所</x:t>
    </x:r>
    <x:r>
      <x:rPr>
        <x:sz val="10"/>
        <x:color rgb="FF202D38"/>
        <x:rFont val="Arial"/>
      </x:rPr>
      <x:t xml:space="preserve">2022</x:t>
    </x:r>
    <x:r>
      <x:rPr>
        <x:sz val="10"/>
        <x:color rgb="FF202D38"/>
        <x:rFont val="PingFang SC"/>
        <x:family val="2"/>
      </x:rPr>
      <x:t xml:space="preserve">版发布</x:t>
    </x:r>
  </x:si>
  <x:si>
    <x:r>
      <x:rPr>
        <x:sz val="10"/>
        <x:color rgb="FF202D38"/>
        <x:rFont val="PingFang SC"/>
        <x:family val="2"/>
      </x:rPr>
      <x:t xml:space="preserve">上市公司重整交易所规则合订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</x:t>
    </x:r>
    <x:r>
      <x:rPr>
        <x:sz val="10"/>
        <x:color rgb="FF202D38"/>
        <x:rFont val="Arial"/>
      </x:rPr>
      <x:t xml:space="preserve">2022</x:t>
    </x:r>
    <x:r>
      <x:rPr>
        <x:sz val="10"/>
        <x:color rgb="FF202D38"/>
        <x:rFont val="PingFang SC"/>
        <x:family val="2"/>
      </x:rPr>
      <x:t xml:space="preserve">年发布通知</x:t>
    </x:r>
  </x:si>
  <x:si>
    <x:t xml:space="preserve">rule25</x:t>
  </x:si>
  <x:si>
    <x:r>
      <x:rPr>
        <x:sz val="10"/>
        <x:color rgb="FF202D38"/>
        <x:rFont val="PingFang SC"/>
        <x:family val="2"/>
      </x:rPr>
      <x:t xml:space="preserve">交易所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版发布</x:t>
    </x:r>
  </x:si>
  <x:si>
    <x:r>
      <x:rPr>
        <x:sz val="10"/>
        <x:color rgb="FF202D38"/>
        <x:rFont val="PingFang SC"/>
        <x:family val="2"/>
      </x:rPr>
      <x:t xml:space="preserve">上市公司重整交易所规则合订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年发布通知</x:t>
    </x:r>
  </x:si>
  <x:si>
    <x:t xml:space="preserve">memo24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</x:si>
  <x:si>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纪要印发</x:t>
    </x:r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</x:si>
  <x:si>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</x:t>
    </x:r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年纪要通知</x:t>
    </x:r>
  </x:si>
  <x:si>
    <x:t xml:space="preserve">plandebt</x:t>
  </x:si>
  <x:si>
    <x:t xml:space="preserve">计划确认债权</x:t>
  </x:si>
  <x:si>
    <x:t xml:space="preserve">元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</x:si>
  <x:si>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</x:si>
  <x:si>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draftdebt</x:t>
  </x:si>
  <x:si>
    <x:t xml:space="preserve">草案确认债权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</x:si>
  <x:si>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重整计划草案</x:t>
    </x:r>
    <x:r>
      <x:rPr>
        <x:sz val="10"/>
        <x:color rgb="FF202D38"/>
        <x:rFont val="Arial"/>
      </x:rPr>
      <x:t xml:space="preserve">_2023-11-11.pdf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</x:si>
  <x:si>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plansecured</x:t>
  </x:si>
  <x:si>
    <x:t xml:space="preserve">计划担保组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</x:si>
  <x:si>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16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</x:si>
  <x:si>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planlabor</x:t>
  </x:si>
  <x:si>
    <x:t xml:space="preserve">计划劳务组</x:t>
  </x:si>
  <x:si>
    <x:t xml:space="preserve">planordinary</x:t>
  </x:si>
  <x:si>
    <x:t xml:space="preserve">计划普通组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</x:si>
  <x:si>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17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</x:si>
  <x:si>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plannum</x:t>
  </x:si>
  <x:si>
    <x:t xml:space="preserve">计划普通组户数</x:t>
  </x:si>
  <x:si>
    <x:t xml:space="preserve">家</x:t>
  </x:si>
  <x:si>
    <x:t xml:space="preserve">plandefer</x:t>
  </x:si>
  <x:si>
    <x:t xml:space="preserve">计划暂缓金额</x:t>
  </x:si>
  <x:si>
    <x:t xml:space="preserve">plandefernum</x:t>
  </x:si>
  <x:si>
    <x:t xml:space="preserve">计划暂缓户数</x:t>
  </x:si>
  <x:si>
    <x:t xml:space="preserve">plantax</x:t>
  </x:si>
  <x:si>
    <x:t xml:space="preserve">计划税款金额</x:t>
  </x:si>
  <x:si>
    <x:t xml:space="preserve">meetsecured</x:t>
  </x:si>
  <x:si>
    <x:t xml:space="preserve">会议担保总额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</x:si>
  <x:si>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</x:si>
  <x:si>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agreemoney</x:t>
  </x:si>
  <x:si>
    <x:t xml:space="preserve">担保同意金额</x:t>
  </x:si>
  <x:si>
    <x:t xml:space="preserve">meetnum</x:t>
  </x:si>
  <x:si>
    <x:t xml:space="preserve">担保到会人数</x:t>
  </x:si>
  <x:si>
    <x:t xml:space="preserve">agreenum</x:t>
  </x:si>
  <x:si>
    <x:t xml:space="preserve">担保同意人数</x:t>
  </x:si>
  <x:si>
    <x:t xml:space="preserve">meetlabor</x:t>
  </x:si>
  <x:si>
    <x:t xml:space="preserve">会议劳务金额</x:t>
  </x:si>
  <x:si>
    <x:t xml:space="preserve">meetordinary</x:t>
  </x:si>
  <x:si>
    <x:t xml:space="preserve">会议普通金额</x:t>
  </x:si>
  <x:si>
    <x:t xml:space="preserve">ordinarynum</x:t>
  </x:si>
  <x:si>
    <x:t xml:space="preserve">会议普通组总户数</x:t>
  </x:si>
  <x:si>
    <x:t xml:space="preserve">attendnum</x:t>
  </x:si>
  <x:si>
    <x:t xml:space="preserve">普通组到会户数</x:t>
  </x:si>
  <x:si>
    <x:t xml:space="preserve">ordinaryagree</x:t>
  </x:si>
  <x:si>
    <x:t xml:space="preserve">普通组同意人数</x:t>
  </x:si>
  <x:si>
    <x:t xml:space="preserve">confirm</x:t>
  </x:si>
  <x:si>
    <x:t xml:space="preserve">监督报告确认总额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</x:si>
  <x:si>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</x:si>
  <x:si>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defer</x:t>
  </x:si>
  <x:si>
    <x:t xml:space="preserve">监督报告暂缓总额</x:t>
  </x:si>
  <x:si>
    <x:t xml:space="preserve">wang</x:t>
  </x:si>
  <x:si>
    <x:t xml:space="preserve">王振为建设工程优先债权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</x:si>
  <x:si>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</x:si>
  <x:si>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wangnum</x:t>
  </x:si>
  <x:si>
    <x:t xml:space="preserve">建设工程优先债权人数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</x:si>
  <x:si>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</x:si>
  <x:si>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citic</x:t>
  </x:si>
  <x:si>
    <x:t xml:space="preserve">计划中信债权</x:t>
  </x:si>
  <x:si>
    <x:t xml:space="preserve">spdb</x:t>
  </x:si>
  <x:si>
    <x:t xml:space="preserve">计划浦发债权</x:t>
  </x:si>
  <x:si>
    <x:t xml:space="preserve">bocom</x:t>
  </x:si>
  <x:si>
    <x:t xml:space="preserve">交通银行转普通债权</x:t>
  </x:si>
  <x:si>
    <x:t xml:space="preserve">zyactual</x:t>
  </x:si>
  <x:si>
    <x:t xml:space="preserve">中原实际股票</x:t>
  </x:si>
  <x:si>
    <x:t xml:space="preserve">股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</x:si>
  <x:si>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54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</x:si>
  <x:si>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hractual</x:t>
  </x:si>
  <x:si>
    <x:t xml:space="preserve">华融实际股票</x:t>
  </x:si>
  <x:si>
    <x:t xml:space="preserve">zyplan</x:t>
  </x:si>
  <x:si>
    <x:t xml:space="preserve">中原协议股票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</x:si>
  <x:si>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</x:si>
  <x:si>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tequcash</x:t>
  </x:si>
  <x:si>
    <x:t xml:space="preserve">特区建工款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</x:si>
  <x:si>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10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</x:si>
  <x:si>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gaoxin</x:t>
  </x:si>
  <x:si>
    <x:t xml:space="preserve">高新投股数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</x:si>
  <x:si>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</x:si>
  <x:si>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qianhai</x:t>
  </x:si>
  <x:si>
    <x:t xml:space="preserve">前海股数</x:t>
  </x:si>
  <x:si>
    <x:t xml:space="preserve">finprice</x:t>
  </x:si>
  <x:si>
    <x:t xml:space="preserve">财务投资人股价</x:t>
  </x:si>
  <x:si>
    <x:r>
      <x:rPr>
        <x:sz val="10"/>
        <x:color rgb="FF202D38"/>
        <x:rFont val="PingFang SC"/>
        <x:family val="2"/>
      </x:rPr>
      <x:t xml:space="preserve">元</x:t>
    </x:r>
    <x:r>
      <x:rPr>
        <x:sz val="10"/>
        <x:color rgb="FF202D38"/>
        <x:rFont val="Arial"/>
      </x:rPr>
      <x:t xml:space="preserve">/</x:t>
    </x:r>
    <x:r>
      <x:rPr>
        <x:sz val="10"/>
        <x:color rgb="FF202D38"/>
        <x:rFont val="PingFang SC"/>
        <x:family val="2"/>
      </x:rPr>
      <x:t xml:space="preserve">股</x:t>
    </x:r>
  </x:si>
  <x:si>
    <x:t xml:space="preserve">zycash</x:t>
  </x:si>
  <x:si>
    <x:t xml:space="preserve">中原协议款</x:t>
  </x:si>
  <x:si>
    <x:t xml:space="preserve">investcash</x:t>
  </x:si>
  <x:si>
    <x:t xml:space="preserve">投资款到账总额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</x:si>
  <x:si>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</x:si>
  <x:si>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tail</x:t>
  </x:si>
  <x:si>
    <x:t xml:space="preserve">特区尾款比例</x:t>
  </x:si>
  <x:si>
    <x:t xml:space="preserve">比例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</x:si>
  <x:si>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</x:si>
  <x:si>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lock</x:t>
  </x:si>
  <x:si>
    <x:t xml:space="preserve">华融锁定期</x:t>
  </x:si>
  <x:si>
    <x:t xml:space="preserve">月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</x:si>
  <x:si>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_2023</x:t>
    </x:r>
    <x:r>
      <x:rPr>
        <x:sz val="10"/>
        <x:color rgb="FF202D38"/>
        <x:rFont val="PingFang SC"/>
        <x:family val="2"/>
      </x:rPr>
      <x:t xml:space="preserve">年年度报告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87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</x:si>
  <x:si>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stocktotal</x:t>
  </x:si>
  <x:si>
    <x:t xml:space="preserve">转增股总额</x:t>
  </x:si>
  <x:si>
    <x:t xml:space="preserve">stockinvest</x:t>
  </x:si>
  <x:si>
    <x:t xml:space="preserve">投资人股票</x:t>
  </x:si>
  <x:si>
    <x:t xml:space="preserve">stockdebt</x:t>
  </x:si>
  <x:si>
    <x:t xml:space="preserve">抵债股票总额</x:t>
  </x:si>
  <x:si>
    <x:t xml:space="preserve">stockfirst</x:t>
  </x:si>
  <x:si>
    <x:t xml:space="preserve">首次抵债划出</x:t>
  </x:si>
  <x:si>
    <x:t xml:space="preserve">stocksecond</x:t>
  </x:si>
  <x:si>
    <x:t xml:space="preserve">第二次抵债划出</x:t>
  </x:si>
  <x:si>
    <x:t xml:space="preserve">stockthird</x:t>
  </x:si>
  <x:si>
    <x:t xml:space="preserve">第三次抵债划出</x:t>
  </x:si>
  <x:si>
    <x:t xml:space="preserve">balance23</x:t>
  </x:si>
  <x:si>
    <x:r>
      <x:rPr>
        <x:sz val="10"/>
        <x:color rgb="FF202D38"/>
        <x:rFont val="Arial"/>
      </x:rPr>
      <x:t xml:space="preserve">2023</x:t>
    </x:r>
    <x:r>
      <x:rPr>
        <x:sz val="10"/>
        <x:color rgb="FF202D38"/>
        <x:rFont val="PingFang SC"/>
        <x:family val="2"/>
      </x:rPr>
      <x:t xml:space="preserve">年末专户</x:t>
    </x:r>
  </x:si>
  <x:si>
    <x:t xml:space="preserve">balanceapr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</x:si>
  <x:si>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</x:t>
    </x:r>
    <x:r>
      <x:rPr>
        <x:sz val="10"/>
        <x:color rgb="FF202D38"/>
        <x:rFont val="Arial"/>
      </x:rPr>
      <x:t xml:space="preserve">4</x:t>
    </x:r>
    <x:r>
      <x:rPr>
        <x:sz val="10"/>
        <x:color rgb="FF202D38"/>
        <x:rFont val="PingFang SC"/>
        <x:family val="2"/>
      </x:rPr>
      <x:t xml:space="preserve">月底专户</x:t>
    </x:r>
  </x:si>
  <x:si>
    <x:t xml:space="preserve">balance24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</x:si>
  <x:si>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年末专户</x:t>
    </x:r>
  </x:si>
  <x:si>
    <x:t xml:space="preserve">balancemid25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</x:si>
  <x:si>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年中专户</x:t>
    </x:r>
  </x:si>
  <x:si>
    <x:t xml:space="preserve">balance25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</x:si>
  <x:si>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年末专户</x:t>
    </x:r>
  </x:si>
  <x:si>
    <x:t xml:space="preserve">type1</x:t>
  </x:si>
  <x:si>
    <x:t xml:space="preserve">未提供账户暂留</x:t>
  </x:si>
  <x:si>
    <x:t xml:space="preserve">type2</x:t>
  </x:si>
  <x:si>
    <x:t xml:space="preserve">担保转普通预留</x:t>
  </x:si>
  <x:si>
    <x:t xml:space="preserve">type3</x:t>
  </x:si>
  <x:si>
    <x:t xml:space="preserve">劳务转普通预留</x:t>
  </x:si>
  <x:si>
    <x:t xml:space="preserve">type4</x:t>
  </x:si>
  <x:si>
    <x:t xml:space="preserve">暂缓债权预留</x:t>
  </x:si>
  <x:si>
    <x:t xml:space="preserve">type5</x:t>
  </x:si>
  <x:si>
    <x:t xml:space="preserve">未申报预留</x:t>
  </x:si>
  <x:si>
    <x:t xml:space="preserve">capital</x:t>
  </x:si>
  <x:si>
    <x:t xml:space="preserve">抵债股资本公积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</x:si>
  <x:si>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44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</x:si>
  <x:si>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accountstockwan</x:t>
  </x:si>
  <x:si>
    <x:t xml:space="preserve">会计师展示抵债股票公允价值</x:t>
  </x:si>
  <x:si>
    <x:t xml:space="preserve">万元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</x:si>
  <x:si>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会计师问询回复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25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</x:si>
  <x:si>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fairshow</x:t>
  </x:si>
  <x:si>
    <x:t xml:space="preserve">展示会计单价</x:t>
  </x:si>
  <x:si>
    <x:t xml:space="preserve">gain1</x:t>
  </x:si>
  <x:si>
    <x:t xml:space="preserve">收益分项</x:t>
  </x:si>
  <x:si>
    <x:t xml:space="preserve">gain2</x:t>
  </x:si>
  <x:si>
    <x:t xml:space="preserve">信托损失</x:t>
  </x:si>
  <x:si>
    <x:t xml:space="preserve">gain3</x:t>
  </x:si>
  <x:si>
    <x:t xml:space="preserve">费用</x:t>
  </x:si>
  <x:si>
    <x:t xml:space="preserve">gain4</x:t>
  </x:si>
  <x:si>
    <x:t xml:space="preserve">内部抵消</x:t>
  </x:si>
  <x:si>
    <x:t xml:space="preserve">gain</x:t>
  </x:si>
  <x:si>
    <x:t xml:space="preserve">展示收益总额</x:t>
  </x:si>
  <x:si>
    <x:t xml:space="preserve">cashlimit</x:t>
  </x:si>
  <x:si>
    <x:t xml:space="preserve">普通户现金上限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</x:si>
  <x:si>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</x:si>
  <x:si>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perunit</x:t>
  </x:si>
  <x:si>
    <x:t xml:space="preserve">普通债权分配计算单位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</x:si>
  <x:si>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</x:si>
  <x:si>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sharesper</x:t>
  </x:si>
  <x:si>
    <x:t xml:space="preserve">每百元股票</x:t>
  </x:si>
  <x:si>
    <x:t xml:space="preserve">trustper</x:t>
  </x:si>
  <x:si>
    <x:t xml:space="preserve">每百元一般份额</x:t>
  </x:si>
  <x:si>
    <x:t xml:space="preserve">份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</x:si>
  <x:si>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22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</x:si>
  <x:si>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offsetprice</x:t>
  </x:si>
  <x:si>
    <x:t xml:space="preserve">抵债价格</x:t>
  </x:si>
  <x:si>
    <x:t xml:space="preserve">trusttotal</x:t>
  </x:si>
  <x:si>
    <x:t xml:space="preserve">一般份额总量</x:t>
  </x:si>
  <x:si>
    <x:t xml:space="preserve">trustface</x:t>
  </x:si>
  <x:si>
    <x:t xml:space="preserve">一般份额对应评估资产</x:t>
  </x:si>
  <x:si>
    <x:r>
      <x:rPr>
        <x:sz val="10"/>
        <x:color rgb="FF202D38"/>
        <x:rFont val="PingFang SC"/>
        <x:family val="2"/>
      </x:rPr>
      <x:t xml:space="preserve">元</x:t>
    </x:r>
    <x:r>
      <x:rPr>
        <x:sz val="10"/>
        <x:color rgb="FF202D38"/>
        <x:rFont val="Arial"/>
      </x:rPr>
      <x:t xml:space="preserve">/</x:t>
    </x:r>
    <x:r>
      <x:rPr>
        <x:sz val="10"/>
        <x:color rgb="FF202D38"/>
        <x:rFont val="PingFang SC"/>
        <x:family val="2"/>
      </x:rPr>
      <x:t xml:space="preserve">份</x:t>
    </x:r>
  </x:si>
  <x:si>
    <x:t xml:space="preserve">liquidrate</x:t>
  </x:si>
  <x:si>
    <x:t xml:space="preserve">破产清算条件下受偿率</x:t>
  </x:si>
  <x:si>
    <x:t xml:space="preserve">百分点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</x:si>
  <x:si>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13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</x:si>
  <x:si>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baojia</x:t>
  </x:si>
  <x:si>
    <x:t xml:space="preserve">宝嘉调解确认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</x:si>
  <x:si>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</x:si>
  <x:si>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baojiarequest</x:t>
  </x:si>
  <x:si>
    <x:t xml:space="preserve">宝嘉请求额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</x:si>
  <x:si>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17</x:t>
    </x:r>
    <x:r>
      <x:rPr>
        <x:sz val="10"/>
        <x:color rgb="FF202D38"/>
        <x:rFont val="PingFang SC"/>
        <x:family val="2"/>
      </x:rPr>
      <x:t xml:space="preserve">页</x:t>
    </x:r>
  </x:si>
  <x:si>
    <x:t xml:space="preserve">years</x:t>
  </x:si>
  <x:si>
    <x:t xml:space="preserve">计划提存期间</x:t>
  </x:si>
  <x:si>
    <x:t xml:space="preserve">年</x:t>
  </x:si>
  <x:si>
    <x:t xml:space="preserve">yuan</x:t>
  </x:si>
  <x:si>
    <x:t xml:space="preserve">万元换算</x:t>
  </x:si>
  <x:si>
    <x:r>
      <x:rPr>
        <x:sz val="10"/>
        <x:color rgb="FF202D38"/>
        <x:rFont val="PingFang SC"/>
        <x:family val="2"/>
      </x:rPr>
      <x:t xml:space="preserve">元</x:t>
    </x:r>
    <x:r>
      <x:rPr>
        <x:sz val="10"/>
        <x:color rgb="FF202D38"/>
        <x:rFont val="Arial"/>
      </x:rPr>
      <x:t xml:space="preserve">/</x:t>
    </x:r>
    <x:r>
      <x:rPr>
        <x:sz val="10"/>
        <x:color rgb="FF202D38"/>
        <x:rFont val="PingFang SC"/>
        <x:family val="2"/>
      </x:rPr>
      <x:t xml:space="preserve">万元</x:t>
    </x:r>
  </x:si>
  <x:si>
    <x:t xml:space="preserve">单位换算</x:t>
  </x:si>
  <x:si>
    <x:t xml:space="preserve">数学单位</x:t>
  </x:si>
  <x:si>
    <x:t xml:space="preserve">pct</x:t>
  </x:si>
  <x:si>
    <x:t xml:space="preserve">百分数换算</x:t>
  </x:si>
  <x:si>
    <x:r>
      <x:rPr>
        <x:sz val="10"/>
        <x:color rgb="FF202D38"/>
        <x:rFont val="PingFang SC"/>
        <x:family val="2"/>
      </x:rPr>
      <x:t xml:space="preserve">百分点</x:t>
    </x:r>
    <x:r>
      <x:rPr>
        <x:sz val="10"/>
        <x:color rgb="FF202D38"/>
        <x:rFont val="Arial"/>
      </x:rPr>
      <x:t xml:space="preserve">/</x:t>
    </x:r>
    <x:r>
      <x:rPr>
        <x:sz val="10"/>
        <x:color rgb="FF202D38"/>
        <x:rFont val="PingFang SC"/>
        <x:family val="2"/>
      </x:rPr>
      <x:t xml:space="preserve">比例</x:t>
    </x:r>
  </x:si>
  <x:si>
    <x:t xml:space="preserve">数学换算</x:t>
  </x:si>
  <x:si>
    <x:t xml:space="preserve">half</x:t>
  </x:si>
  <x:si>
    <x:t xml:space="preserve">人数通过界限</x:t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</x:si>
  <x:si>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：企业破产法第八十四条</x:t>
    </x:r>
  </x:si>
  <x:si>
    <x:t xml:space="preserve">过半数</x:t>
  </x:si>
  <x:si>
    <x:t xml:space="preserve">two</x:t>
  </x:si>
  <x:si>
    <x:t xml:space="preserve">金额门槛分子</x:t>
  </x:si>
  <x:si>
    <x:t xml:space="preserve">无量纲</x:t>
  </x:si>
  <x:si>
    <x:t xml:space="preserve">three</x:t>
  </x:si>
  <x:si>
    <x:t xml:space="preserve">金额门槛分母</x:t>
  </x:si>
  <x:si>
    <x:t xml:space="preserve">公式结果</x:t>
  </x:si>
  <x:si>
    <x:t xml:space="preserve">说明</x:t>
  </x:si>
  <x:si>
    <x:t xml:space="preserve">securedgap</x:t>
  </x:si>
  <x:si>
    <x:t xml:space="preserve">会议担保组增量</x:t>
  </x:si>
  <x:si>
    <x:t xml:space="preserve">按原始取数计算</x:t>
  </x:si>
  <x:si>
    <x:t xml:space="preserve">laborgap</x:t>
  </x:si>
  <x:si>
    <x:t xml:space="preserve">会议劳务组增量</x:t>
  </x:si>
  <x:si>
    <x:t xml:space="preserve">ordinarygap</x:t>
  </x:si>
  <x:si>
    <x:t xml:space="preserve">会议普通组增量</x:t>
  </x:si>
  <x:si>
    <x:t xml:space="preserve">numgap</x:t>
  </x:si>
  <x:si>
    <x:t xml:space="preserve">普通组户数增量</x:t>
  </x:si>
  <x:si>
    <x:t xml:space="preserve">confirmgap</x:t>
  </x:si>
  <x:si>
    <x:t xml:space="preserve">确认债权变化</x:t>
  </x:si>
  <x:si>
    <x:t xml:space="preserve">defergap</x:t>
  </x:si>
  <x:si>
    <x:t xml:space="preserve">暂缓债权变化</x:t>
  </x:si>
  <x:si>
    <x:t xml:space="preserve">plancheck</x:t>
  </x:si>
  <x:si>
    <x:t xml:space="preserve">草案与正式稿确认额差</x:t>
  </x:si>
  <x:si>
    <x:t xml:space="preserve">金额一致；其他文字仍须对照</x:t>
  </x:si>
  <x:si>
    <x:t xml:space="preserve">zygrouptotal</x:t>
  </x:si>
  <x:si>
    <x:t xml:space="preserve">中原与华融合计</x:t>
  </x:si>
  <x:si>
    <x:t xml:space="preserve">zycheck</x:t>
  </x:si>
  <x:si>
    <x:t xml:space="preserve">协议额度差</x:t>
  </x:si>
  <x:si>
    <x:t xml:space="preserve">investtotal</x:t>
  </x:si>
  <x:si>
    <x:t xml:space="preserve">各方投资款合计</x:t>
  </x:si>
  <x:si>
    <x:t xml:space="preserve">investcheck</x:t>
  </x:si>
  <x:si>
    <x:t xml:space="preserve">投资款监督数差</x:t>
  </x:si>
  <x:si>
    <x:t xml:space="preserve">notagree</x:t>
  </x:si>
  <x:si>
    <x:t xml:space="preserve">担保不同意总额</x:t>
  </x:si>
  <x:si>
    <x:t xml:space="preserve">人数身份不据金额相同认定</x:t>
  </x:si>
  <x:si>
    <x:t xml:space="preserve">twobanks</x:t>
  </x:si>
  <x:si>
    <x:t xml:space="preserve">计划中信浦发合计</x:t>
  </x:si>
  <x:si>
    <x:t xml:space="preserve">与不同意总額恰同，身份仅为推论</x:t>
  </x:si>
  <x:si>
    <x:t xml:space="preserve">wangyesn</x:t>
  </x:si>
  <x:si>
    <x:t xml:space="preserve">剔除王振为且原同意人数比例</x:t>
  </x:si>
  <x:si>
    <x:t xml:space="preserve">假设王按计划额投票</x:t>
  </x:si>
  <x:si>
    <x:t xml:space="preserve">wangyesa</x:t>
  </x:si>
  <x:si>
    <x:t xml:space="preserve">剔除王振为且原同意金额比例</x:t>
  </x:si>
  <x:si>
    <x:t xml:space="preserve">wangnon</x:t>
  </x:si>
  <x:si>
    <x:t xml:space="preserve">剔除王振为且原不同意人数比例</x:t>
  </x:si>
  <x:si>
    <x:t xml:space="preserve">wangnoa</x:t>
  </x:si>
  <x:si>
    <x:t xml:space="preserve">剔除王振为且原不同意金额比例</x:t>
  </x:si>
  <x:si>
    <x:t xml:space="preserve">passyes</x:t>
  </x:si>
  <x:si>
    <x:t xml:space="preserve">原同意假设是否仍通过</x:t>
  </x:si>
  <x:si>
    <x:t xml:space="preserve">判断</x:t>
  </x:si>
  <x:si>
    <x:t xml:space="preserve">passno</x:t>
  </x:si>
  <x:si>
    <x:t xml:space="preserve">原不同意假设是否仍通过</x:t>
  </x:si>
  <x:si>
    <x:t xml:space="preserve">bal23</x:t>
  </x:si>
  <x:si>
    <x:t xml:space="preserve">首次分配后余额</x:t>
  </x:si>
  <x:si>
    <x:t xml:space="preserve">bal23check</x:t>
  </x:si>
  <x:si>
    <x:r>
      <x:rPr>
        <x:sz val="10"/>
        <x:color rgb="FF202D38"/>
        <x:rFont val="PingFang SC"/>
        <x:family val="2"/>
      </x:rPr>
      <x:t xml:space="preserve">与</x:t>
    </x:r>
    <x:r>
      <x:rPr>
        <x:sz val="10"/>
        <x:color rgb="FF202D38"/>
        <x:rFont val="Arial"/>
      </x:rPr>
      <x:t xml:space="preserve">2023</x:t>
    </x:r>
    <x:r>
      <x:rPr>
        <x:sz val="10"/>
        <x:color rgb="FF202D38"/>
        <x:rFont val="PingFang SC"/>
        <x:family val="2"/>
      </x:rPr>
      <x:t xml:space="preserve">年末余额差</x:t>
    </x:r>
  </x:si>
  <x:si>
    <x:t xml:space="preserve">out24early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</x:si>
  <x:si>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年前两批划出</x:t>
    </x:r>
  </x:si>
  <x:si>
    <x:t xml:space="preserve">out24late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</x:si>
  <x:si>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</x:t>
    </x:r>
    <x:r>
      <x:rPr>
        <x:sz val="10"/>
        <x:color rgb="FF202D38"/>
        <x:rFont val="Arial"/>
      </x:rPr>
      <x:t xml:space="preserve">5</x:t>
    </x:r>
    <x:r>
      <x:rPr>
        <x:sz val="10"/>
        <x:color rgb="FF202D38"/>
        <x:rFont val="PingFang SC"/>
        <x:family val="2"/>
      </x:rPr>
      <x:t xml:space="preserve">月至年底划出</x:t>
    </x:r>
  </x:si>
  <x:si>
    <x:t xml:space="preserve">out25first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</x:si>
  <x:si>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上半年划出</x:t>
    </x:r>
  </x:si>
  <x:si>
    <x:t xml:space="preserve">out25second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</x:si>
  <x:si>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下半年划出</x:t>
    </x:r>
  </x:si>
  <x:si>
    <x:t xml:space="preserve">batchcheck</x:t>
  </x:si>
  <x:si>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年前两批差额</x:t>
    </x:r>
  </x:si>
  <x:si>
    <x:t xml:space="preserve">types</x:t>
  </x:si>
  <x:si>
    <x:t xml:space="preserve">五类预留合计</x:t>
  </x:si>
  <x:si>
    <x:r>
      <x:rPr>
        <x:sz val="10"/>
        <x:color rgb="FF202D38"/>
        <x:rFont val="PingFang SC"/>
        <x:family val="2"/>
      </x:rPr>
      <x:t xml:space="preserve">分类仅截至</x:t>
    </x:r>
    <x:r>
      <x:rPr>
        <x:sz val="10"/>
        <x:color rgb="FF202D38"/>
        <x:rFont val="Arial"/>
      </x:rPr>
      <x:t xml:space="preserve">2024-04-30</x:t>
    </x:r>
  </x:si>
  <x:si>
    <x:t xml:space="preserve">typescheck</x:t>
  </x:si>
  <x:si>
    <x:t xml:space="preserve">五类与当期余额差</x:t>
  </x:si>
  <x:si>
    <x:t xml:space="preserve">allout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</x:si>
  <x:si>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年末累计划出</x:t>
    </x:r>
  </x:si>
  <x:si>
    <x:t xml:space="preserve">outpct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</x:si>
  <x:si>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年末划出比例</x:t>
    </x:r>
  </x:si>
  <x:si>
    <x:t xml:space="preserve">remainpct</x:t>
  </x:si>
  <x:si>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年末剩余比例</x:t>
    </x:r>
  </x:si>
  <x:si>
    <x:t xml:space="preserve">fair</x:t>
  </x:si>
  <x:si>
    <x:t xml:space="preserve">反推精确会计单价</x:t>
  </x:si>
  <x:si>
    <x:t xml:space="preserve">保留底层精度</x:t>
  </x:si>
  <x:si>
    <x:t xml:space="preserve">showamount</x:t>
  </x:si>
  <x:si>
    <x:t xml:space="preserve">用展示单价计算资本公积</x:t>
  </x:si>
  <x:si>
    <x:t xml:space="preserve">roundgap</x:t>
  </x:si>
  <x:si>
    <x:t xml:space="preserve">展示单价造成金额差</x:t>
  </x:si>
  <x:si>
    <x:t xml:space="preserve">roundgapwan</x:t>
  </x:si>
  <x:si>
    <x:t xml:space="preserve">展示单价造成金额差（万元）</x:t>
  </x:si>
  <x:si>
    <x:t xml:space="preserve">displayamount</x:t>
  </x:si>
  <x:si>
    <x:t xml:space="preserve">展示单价计算金额取万元两位</x:t>
  </x:si>
  <x:si>
    <x:t xml:space="preserve">displaygap</x:t>
  </x:si>
  <x:si>
    <x:t xml:space="preserve">两端按万元展示后之差</x:t>
  </x:si>
  <x:si>
    <x:t xml:space="preserve">两端取万元两位，与精确元差分列</x:t>
  </x:si>
  <x:si>
    <x:t xml:space="preserve">gaincalc</x:t>
  </x:si>
  <x:si>
    <x:t xml:space="preserve">收益展示分项合计</x:t>
  </x:si>
  <x:si>
    <x:t xml:space="preserve">gaingap</x:t>
  </x:si>
  <x:si>
    <x:t xml:space="preserve">展示合计差额元</x:t>
  </x:si>
  <x:si>
    <x:t xml:space="preserve">展示精度差</x:t>
  </x:si>
  <x:si>
    <x:t xml:space="preserve">unclaimend</x:t>
  </x:si>
  <x:si>
    <x:t xml:space="preserve">未申报股票及份额满三年</x:t>
  </x:si>
  <x:si>
    <x:t xml:space="preserve">confirmedend1</x:t>
  </x:si>
  <x:si>
    <x:t xml:space="preserve">已确认未领受期间下界</x:t>
  </x:si>
  <x:si>
    <x:t xml:space="preserve">confirmedend2</x:t>
  </x:si>
  <x:si>
    <x:t xml:space="preserve">已确认未领受期间上界</x:t>
  </x:si>
  <x:si>
    <x:t xml:space="preserve">unclaimstatus</x:t>
  </x:si>
  <x:si>
    <x:t xml:space="preserve">未申报股票份额期间状态</x:t>
  </x:si>
  <x:si>
    <x:t xml:space="preserve">文本</x:t>
  </x:si>
  <x:si>
    <x:t xml:space="preserve">confirmedstatus</x:t>
  </x:si>
  <x:si>
    <x:t xml:space="preserve">已确认未领受期间状态</x:t>
  </x:si>
  <x:si>
    <x:t xml:space="preserve">newsdays</x:t>
  </x:si>
  <x:si>
    <x:t xml:space="preserve">最新诉讼公告至文本期满间隔</x:t>
  </x:si>
  <x:si>
    <x:t xml:space="preserve">日</x:t>
  </x:si>
  <x:si>
    <x:t xml:space="preserve">baojiaamount</x:t>
  </x:si>
  <x:si>
    <x:t xml:space="preserve">宝嘉确认额元</x:t>
  </x:si>
  <x:si>
    <x:t xml:space="preserve">仅以公告万元展示值测算</x:t>
  </x:si>
  <x:si>
    <x:t xml:space="preserve">baojiacash</x:t>
  </x:si>
  <x:si>
    <x:t xml:space="preserve">宝嘉现金</x:t>
  </x:si>
  <x:si>
    <x:t xml:space="preserve">假设该户唯一确认债权；未减历史已领受</x:t>
  </x:si>
  <x:si>
    <x:t xml:space="preserve">baojiaextra</x:t>
  </x:si>
  <x:si>
    <x:t xml:space="preserve">宝嘉超过现金部分</x:t>
  </x:si>
  <x:si>
    <x:t xml:space="preserve">baojiastock</x:t>
  </x:si>
  <x:si>
    <x:t xml:space="preserve">宝嘉应分配股票</x:t>
  </x:si>
  <x:si>
    <x:t xml:space="preserve">退一法；实际登记另核</x:t>
  </x:si>
  <x:si>
    <x:t xml:space="preserve">baojiatrust</x:t>
  </x:si>
  <x:si>
    <x:t xml:space="preserve">宝嘉应分配一般份额</x:t>
  </x:si>
  <x:si>
    <x:t xml:space="preserve">退一法</x:t>
  </x:si>
  <x:si>
    <x:t xml:space="preserve">baojiastockwan</x:t>
  </x:si>
  <x:si>
    <x:t xml:space="preserve">宝嘉股票万股</x:t>
  </x:si>
  <x:si>
    <x:t xml:space="preserve">万股</x:t>
  </x:si>
  <x:si>
    <x:t xml:space="preserve">baojiatrustwan</x:t>
  </x:si>
  <x:si>
    <x:t xml:space="preserve">宝嘉信托万份</x:t>
  </x:si>
  <x:si>
    <x:t xml:space="preserve">万份</x:t>
  </x:si>
  <x:si>
    <x:t xml:space="preserve">nominal</x:t>
  </x:si>
  <x:si>
    <x:t xml:space="preserve">每百元名义清偿金额</x:t>
  </x:si>
  <x:si>
    <x:r>
      <x:rPr>
        <x:sz val="10"/>
        <x:color rgb="FF202D38"/>
        <x:rFont val="PingFang SC"/>
        <x:family val="2"/>
      </x:rPr>
      <x:t xml:space="preserve">元</x:t>
    </x:r>
    <x:r>
      <x:rPr>
        <x:sz val="10"/>
        <x:color rgb="FF202D38"/>
        <x:rFont val="Arial"/>
      </x:rPr>
      <x:t xml:space="preserve">/</x:t>
    </x:r>
    <x:r>
      <x:rPr>
        <x:sz val="10"/>
        <x:color rgb="FF202D38"/>
        <x:rFont val="PingFang SC"/>
        <x:family val="2"/>
      </x:rPr>
      <x:t xml:space="preserve">百元</x:t>
    </x:r>
  </x:si>
  <x:si>
    <x:t xml:space="preserve">fairper</x:t>
  </x:si>
  <x:si>
    <x:t xml:space="preserve">每百元股票公允金额</x:t>
  </x:si>
  <x:si>
    <x:t xml:space="preserve">stockbase</x:t>
  </x:si>
  <x:si>
    <x:t xml:space="preserve">股票资源对应超额债权基数</x:t>
  </x:si>
  <x:si>
    <x:t xml:space="preserve">trustbase</x:t>
  </x:si>
  <x:si>
    <x:t xml:space="preserve">信托资源对应超额债权基数</x:t>
  </x:si>
  <x:si>
    <x:t xml:space="preserve">basegap</x:t>
  </x:si>
  <x:si>
    <x:t xml:space="preserve">资源基数差</x:t>
  </x:si>
  <x:si>
    <x:t xml:space="preserve">basegappct</x:t>
  </x:si>
  <x:si>
    <x:t xml:space="preserve">资源基数相对差</x:t>
  </x:si>
  <x:si>
    <x:t xml:space="preserve">以股票对应基数为分母</x:t>
  </x:si>
  <x:si>
    <x:t xml:space="preserve">出处</x:t>
  </x:si>
  <x:si>
    <x:t xml:space="preserve">处理</x:t>
  </x:si>
  <x:si>
    <x:t xml:space="preserve">作出、披露和统计截止分别记录</x:t>
  </x:si>
  <x:si>
    <x:t xml:space="preserve">重整计划提存条款及相应起点</x:t>
  </x:si>
  <x:si>
    <x:t xml:space="preserve">以评估基准日核对；权利后果另审</x:t>
  </x:si>
  <x:si>
    <x:t xml:space="preserve">已知材料关系</x:t>
  </x:si>
  <x:si>
    <x:t xml:space="preserve">所需文件或动作</x:t>
  </x:si>
  <x:si>
    <x:t xml:space="preserve">用途</x:t>
  </x:si>
  <x:si>
    <x:t xml:space="preserve">目标债权</x:t>
  </x:si>
  <x:si>
    <x:t xml:space="preserve">据委托函，尚待选择</x:t>
  </x:si>
  <x:si>
    <x:t xml:space="preserve">确认文书、历史受偿及资源保留凭证</x:t>
  </x:si>
  <x:si>
    <x:t xml:space="preserve">报价与交割范围</x:t>
  </x:si>
  <x:si>
    <x:t xml:space="preserve">意见承继</x:t>
  </x:si>
  <x:si>
    <x:t xml:space="preserve">申报与评估延续；模板与指引要件不同</x:t>
  </x:si>
  <x:si>
    <x:t xml:space="preserve">实际意见及会议记录</x:t>
  </x:si>
  <x:si>
    <x:t xml:space="preserve">程序依据</x:t>
  </x:si>
  <x:si>
    <x:t xml:space="preserve">计划披露</x:t>
  </x:si>
  <x:si>
    <x:t xml:space="preserve">措辞有调整，债权数据沿用</x:t>
  </x:si>
  <x:si>
    <x:t xml:space="preserve">会议留存稿与披露说明</x:t>
  </x:si>
  <x:si>
    <x:t xml:space="preserve">核实差异处理</x:t>
  </x:si>
  <x:si>
    <x:t xml:space="preserve">投资受让</x:t>
  </x:si>
  <x:si>
    <x:t xml:space="preserve">股数符合原额度，书面指定待核</x:t>
  </x:si>
  <x:si>
    <x:t xml:space="preserve">指定文件、款项和过户记录</x:t>
  </x:si>
  <x:si>
    <x:t xml:space="preserve">确定履行路径</x:t>
  </x:si>
  <x:si>
    <x:t xml:space="preserve">表决处理</x:t>
  </x:si>
  <x:si>
    <x:t xml:space="preserve">建设工程优先权与分组、资格需分开</x:t>
  </x:si>
  <x:si>
    <x:t xml:space="preserve">分组名单、认定额及投票凭证</x:t>
  </x:si>
  <x:si>
    <x:t xml:space="preserve">限定效力论断</x:t>
  </x:si>
  <x:si>
    <x:t xml:space="preserve">付款及信托</x:t>
  </x:si>
  <x:si>
    <x:t xml:space="preserve">到账、交割条件和成立日需衔接</x:t>
  </x:si>
  <x:si>
    <x:t xml:space="preserve">交割标准、成就或豁免文件</x:t>
  </x:si>
  <x:si>
    <x:t xml:space="preserve">明确合同履行</x:t>
  </x:si>
  <x:si>
    <x:t xml:space="preserve">提存资源</x:t>
  </x:si>
  <x:si>
    <x:t xml:space="preserve">类别、期限及预留账户各异</x:t>
  </x:si>
  <x:si>
    <x:t xml:space="preserve">最新分类明细和处理意见</x:t>
  </x:si>
  <x:si>
    <x:t xml:space="preserve">单户可受偿性</x:t>
  </x:si>
  <x:si>
    <x:t xml:space="preserve">信托价值</x:t>
  </x:si>
  <x:si>
    <x:t xml:space="preserve">份额关联评估资产，现金回收随处置</x:t>
  </x:si>
  <x:si>
    <x:t xml:space="preserve">资产处置、费用及分配报告</x:t>
  </x:si>
  <x:si>
    <x:t xml:space="preserve">报价基础</x:t>
  </x:si>
  <x:si>
    <x:t xml:space="preserve">序号</x:t>
  </x:si>
  <x:si>
    <x:t xml:space="preserve">原件与章节定位</x:t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</x:si>
  <x:si>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25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26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</x:si>
  <x:si>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程序公告合订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15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</x:si>
  <x:si>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重整计划草案</x:t>
    </x:r>
    <x:r>
      <x:rPr>
        <x:sz val="10"/>
        <x:color rgb="FF202D38"/>
        <x:rFont val="Arial"/>
      </x:rPr>
      <x:t xml:space="preserve">_2023-11-11.pdf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45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</x:si>
  <x:si>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重整计划</x:t>
    </x:r>
    <x:r>
      <x:rPr>
        <x:sz val="10"/>
        <x:color rgb="FF202D38"/>
        <x:rFont val="Arial"/>
      </x:rPr>
      <x:t xml:space="preserve">_2023-11-29.pdf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36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37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45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</x:si>
  <x:si>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3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5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</x:si>
  <x:si>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投资公告及核查意见合订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20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23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</x:si>
  <x:si>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10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12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</x:si>
  <x:si>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_2023</x:t>
    </x:r>
    <x:r>
      <x:rPr>
        <x:sz val="10"/>
        <x:color rgb="FF202D38"/>
        <x:rFont val="PingFang SC"/>
        <x:family val="2"/>
      </x:rPr>
      <x:t xml:space="preserve">年年度报告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64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87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89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237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</x:si>
  <x:si>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年报问询回复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44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46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54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</x:si>
  <x:si>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非标意见消除专项说明</x:t>
    </x:r>
    <x:r>
      <x:rPr>
        <x:sz val="10"/>
        <x:color rgb="FF202D38"/>
        <x:rFont val="Arial"/>
      </x:rPr>
      <x:t xml:space="preserve">_2024-04-27.pdf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</x:si>
  <x:si>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会计师问询回复</x:t>
    </x:r>
    <x:r>
      <x:rPr>
        <x:sz val="10"/>
        <x:color rgb="FF202D38"/>
        <x:rFont val="Arial"/>
      </x:rPr>
      <x:t xml:space="preserve">_2024-06-15.pdf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25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26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</x:si>
  <x:si>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广田集团</x:t>
    </x:r>
    <x:r>
      <x:rPr>
        <x:sz val="10"/>
        <x:color rgb="FF202D38"/>
        <x:rFont val="Arial"/>
      </x:rPr>
      <x:t xml:space="preserve">_</x:t>
    </x:r>
    <x:r>
      <x:rPr>
        <x:sz val="10"/>
        <x:color rgb="FF202D38"/>
        <x:rFont val="PingFang SC"/>
        <x:family val="2"/>
      </x:rPr>
      <x:t xml:space="preserve">执行与诉讼公告合订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23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24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</x:si>
  <x:si>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31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32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48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53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54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</x:si>
  <x:si>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19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</x:si>
  <x:si>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上市公司重整交易所规则合订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，</x:t>
    </x:r>
    <x:r>
      <x:rPr>
        <x:sz val="10"/>
        <x:color rgb="FF202D38"/>
        <x:rFont val="Arial"/>
      </x:rPr>
      <x:t xml:space="preserve">PDF </x:t>
    </x:r>
    <x:r>
      <x:rPr>
        <x:sz val="10"/>
        <x:color rgb="FF202D38"/>
        <x:rFont val="PingFang SC"/>
        <x:family val="2"/>
      </x:rPr>
      <x:t xml:space="preserve">第</x:t>
    </x:r>
    <x:r>
      <x:rPr>
        <x:sz val="10"/>
        <x:color rgb="FF202D38"/>
        <x:rFont val="Arial"/>
      </x:rPr>
      <x:t xml:space="preserve">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11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17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18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19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22</x:t>
    </x:r>
    <x:r>
      <x:rPr>
        <x:sz val="10"/>
        <x:color rgb="FF202D38"/>
        <x:rFont val="PingFang SC"/>
        <x:family val="2"/>
      </x:rPr>
      <x:t xml:space="preserve">页</x:t>
    </x:r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</x:si>
  <x:si>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：企业破产法第九十二条；</x:t>
    </x:r>
    <x:r>
      <x:rPr>
        <x:sz val="10"/>
        <x:color rgb="FF202D38"/>
        <x:rFont val="Arial"/>
      </x:rPr>
      <x:t xml:space="preserve">2018</x:t>
    </x:r>
    <x:r>
      <x:rPr>
        <x:sz val="10"/>
        <x:color rgb="FF202D38"/>
        <x:rFont val="PingFang SC"/>
        <x:family val="2"/>
      </x:rPr>
      <x:t xml:space="preserve">年纪要第十九、二十项；</x:t>
    </x:r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年纪要第十五、二十四项及印发通知。</x:t>
    </x:r>
  </x:si>
  <x:si>
    <x:r>
      <x:rPr>
        <x:sz val="10"/>
        <x:color rgb="FF202D38"/>
        <x:rFont val="PingFang SC"/>
        <x:family val="2"/>
      </x:rPr>
      <x:t xml:space="preserve">上市公司重整交易所规则合订</x:t>
    </x:r>
    <x:r>
      <x:rPr>
        <x:sz val="10"/>
        <x:color rgb="FF202D38"/>
        <x:rFont val="Arial"/>
      </x:rPr>
      <x:t xml:space="preserve">.pdf</x:t>
    </x:r>
    <x:r>
      <x:rPr>
        <x:sz val="10"/>
        <x:color rgb="FF202D38"/>
        <x:rFont val="PingFang SC"/>
        <x:family val="2"/>
      </x:rPr>
      <x:t xml:space="preserve">：</x:t>
    </x:r>
    <x:r>
      <x:rPr>
        <x:sz val="10"/>
        <x:color rgb="FF202D38"/>
        <x:rFont val="Arial"/>
      </x:rPr>
      <x:t xml:space="preserve">2022</x:t>
    </x:r>
    <x:r>
      <x:rPr>
        <x:sz val="10"/>
        <x:color rgb="FF202D38"/>
        <x:rFont val="PingFang SC"/>
        <x:family val="2"/>
      </x:rPr>
      <x:t xml:space="preserve">年、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年发布通知及相应指引。</x:t>
    </x:r>
  </x:si>
  <x:si>
    <x:t xml:space="preserve">委托</x:t>
  </x:si>
  <x:si>
    <x:t xml:space="preserve">内容</x:t>
  </x:si>
  <x:si>
    <x:t xml:space="preserve">来源</x:t>
  </x:si>
  <x:si>
    <x:t xml:space="preserve">规则版本</x:t>
  </x:si>
  <x:si>
    <x:r>
      <x:rPr>
        <x:sz val="10"/>
        <x:color rgb="FF202D38"/>
        <x:rFont val="Arial"/>
      </x:rPr>
      <x:t xml:space="preserve">2022</x:t>
    </x:r>
    <x:r>
      <x:rPr>
        <x:sz val="10"/>
        <x:color rgb="FF202D38"/>
        <x:rFont val="PingFang SC"/>
        <x:family val="2"/>
      </x:rPr>
      <x:t xml:space="preserve">版第</x:t>
    </x:r>
    <x:r>
      <x:rPr>
        <x:sz val="10"/>
        <x:color rgb="FF202D38"/>
        <x:rFont val="Arial"/>
      </x:rPr>
      <x:t xml:space="preserve">14</x:t>
    </x:r>
    <x:r>
      <x:rPr>
        <x:sz val="10"/>
        <x:color rgb="FF202D38"/>
        <x:rFont val="PingFang SC"/>
        <x:family val="2"/>
      </x:rPr>
      <x:t xml:space="preserve">号第二十二、二十八、四十三、四十六条覆盖各自事项；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版自发布日替换旧版</x:t>
    </x:r>
  </x:si>
  <x:si>
    <x:r>
      <x:rPr>
        <x:sz val="10"/>
        <x:color rgb="FF202D38"/>
        <x:rFont val="PingFang SC"/>
        <x:family val="2"/>
      </x:rPr>
      <x:t xml:space="preserve">上市公司重整交易所规则合订</x:t>
    </x:r>
    <x:r>
      <x:rPr>
        <x:sz val="10"/>
        <x:color rgb="FF202D38"/>
        <x:rFont val="Arial"/>
      </x:rPr>
      <x:t xml:space="preserve">.pdf</x:t>
    </x:r>
  </x:si>
  <x:si>
    <x:t xml:space="preserve">预重整与表决</x:t>
  </x:si>
  <x:si>
    <x:t xml:space="preserve">深圳指引第三十四、三十五、八十四、九十、九十一条；解释三第十一条</x:t>
  </x:si>
  <x:si>
    <x:r>
      <x:rPr>
        <x:sz val="10"/>
        <x:color rgb="FF202D38"/>
        <x:rFont val="PingFang SC"/>
        <x:family val="2"/>
      </x:rPr>
      <x:t xml:space="preserve">企业重整法律及司法文件合订</x:t>
    </x:r>
    <x:r>
      <x:rPr>
        <x:sz val="10"/>
        <x:color rgb="FF202D38"/>
        <x:rFont val="Arial"/>
      </x:rPr>
      <x:t xml:space="preserve">.pdf</x:t>
    </x:r>
  </x:si>
  <x:si>
    <x:t xml:space="preserve">执行期变更</x:t>
  </x:si>
  <x:si>
    <x:r>
      <x:rPr>
        <x:sz val="10"/>
        <x:color rgb="FF202D38"/>
        <x:rFont val="PingFang SC"/>
        <x:family val="2"/>
      </x:rPr>
      <x:t xml:space="preserve">深圳指引第一百一十二至一百一十五条；</x:t>
    </x:r>
    <x:r>
      <x:rPr>
        <x:sz val="10"/>
        <x:color rgb="FF202D38"/>
        <x:rFont val="Arial"/>
      </x:rPr>
      <x:t xml:space="preserve">2018</x:t>
    </x:r>
    <x:r>
      <x:rPr>
        <x:sz val="10"/>
        <x:color rgb="FF202D38"/>
        <x:rFont val="PingFang SC"/>
        <x:family val="2"/>
      </x:rPr>
      <x:t xml:space="preserve">纪要第十九、二十项</x:t>
    </x:r>
  </x:si>
  <x:si>
    <x:t xml:space="preserve">债权与后规</x:t>
  </x:si>
  <x:si>
    <x:r>
      <x:rPr>
        <x:sz val="10"/>
        <x:color rgb="FF202D38"/>
        <x:rFont val="PingFang SC"/>
        <x:family val="2"/>
      </x:rPr>
      <x:t xml:space="preserve">企业破产法第八十四、九十二条；</x:t>
    </x:r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纪要第十五、二十四项</x:t>
    </x:r>
  </x:si>
  <x:si>
    <x:t xml:space="preserve">年报对照</x:t>
  </x:si>
  <x:si>
    <x:r>
      <x:rPr>
        <x:sz val="10"/>
        <x:color rgb="FF202D38"/>
        <x:rFont val="Arial"/>
      </x:rPr>
      <x:t xml:space="preserve">2023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2024</x:t>
    </x:r>
    <x:r>
      <x:rPr>
        <x:sz val="10"/>
        <x:color rgb="FF202D38"/>
        <x:rFont val="PingFang SC"/>
        <x:family val="2"/>
      </x:rPr>
      <x:t xml:space="preserve">、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半年及</x:t>
    </x:r>
    <x:r>
      <x:rPr>
        <x:sz val="10"/>
        <x:color rgb="FF202D38"/>
        <x:rFont val="Arial"/>
      </x:rPr>
      <x:t xml:space="preserve">2025</x:t>
    </x:r>
    <x:r>
      <x:rPr>
        <x:sz val="10"/>
        <x:color rgb="FF202D38"/>
        <x:rFont val="PingFang SC"/>
        <x:family val="2"/>
      </x:rPr>
      <x:t xml:space="preserve">年报均按报告期末专户余额</x:t>
    </x:r>
  </x:si>
  <x:si>
    <x:t xml:space="preserve">资料索引</x:t>
  </x:si>
  <x:si>
    <x:t xml:space="preserve">日期算法</x:t>
  </x:si>
  <x:si>
    <x:t xml:space="preserve">计划提存条款及监督、法院日期</x:t>
  </x:si>
  <x:si>
    <x:t xml:space="preserve">宝嘉测算</x:t>
  </x:si>
  <x:si>
    <x:t xml:space="preserve">执行与诉讼公告、计划</x:t>
  </x:si>
  <x:si>
    <x:t xml:space="preserve">投票假设</x:t>
  </x:si>
  <x:si>
    <x:t xml:space="preserve">按计划王振为金额分别设其原同意、原不同意；金额相同不确认其他投票人身份</x:t>
  </x:si>
  <x:si>
    <x:t xml:space="preserve">计划与会议公告</x:t>
  </x:si>
  <x:si>
    <x:t xml:space="preserve">数值展示</x:t>
  </x:si>
  <x:si>
    <x:t xml:space="preserve">正文金额多取两位；股数保持整数；比例计算保留底层精度</x:t>
  </x:si>
  <x:si>
    <x:t xml:space="preserve">单位与展示约定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</x:si>
</x:sst>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yyyy\-mm\-dd"/>
    <x:numFmt numFmtId="166" formatCode="#,##0.00;[RED]\(#,##0.00\);0.00"/>
    <x:numFmt numFmtId="167" formatCode="#,##0.00"/>
    <x:numFmt numFmtId="168" formatCode="#,##0"/>
    <x:numFmt numFmtId="169" formatCode="0.000000"/>
    <x:numFmt numFmtId="170" formatCode="#,##0.0000"/>
  </x:numFmts>
  <x:fonts count="13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PingFang SC"/>
      <x:family val="2"/>
    </x:font>
    <x:font>
      <x:sz val="10"/>
      <x:color rgb="FF202D38"/>
      <x:name val="Arial"/>
    </x:font>
    <x:font>
      <x:sz val="10"/>
      <x:color rgb="FF202D38"/>
      <x:name val="PingFang SC"/>
      <x:family val="2"/>
    </x:font>
    <x:font>
      <x:sz val="10"/>
      <x:color rgb="FF0000A0"/>
      <x:name val="Arial"/>
    </x:font>
    <x:font>
      <x:sz val="10"/>
      <x:color rgb="FF008000"/>
      <x:name val="Arial"/>
    </x:font>
    <x:font>
      <x:sz val="10"/>
      <x:color rgb="FF008000"/>
      <x:name val="PingFang SC"/>
      <x:family val="2"/>
    </x:font>
    <x:font>
      <x:sz val="10"/>
      <x:color rgb="FF000000"/>
      <x:name val="微软雅黑"/>
      <x:family val="2"/>
    </x:font>
    <x:font>
      <x:b/>
      <x:sz val="11"/>
      <x:color rgb="FFFFFFFF"/>
      <x:name val="微软雅黑"/>
      <x:family val="2"/>
    </x:font>
    <x:font>
      <x:sz val="10"/>
      <x:color rgb="FF000000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2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/>
      <x:right/>
      <x:top/>
      <x:bottom style="hair">
        <x:color rgb="FFDCE3E8"/>
      </x:bottom>
      <x:diagonal/>
    </x:border>
    <x:border diagonalUp="0" diagonalDown="0"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9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general" vertical="top" wrapText="1" shrinkToFit="0"/>
      <x:protection locked="1" hidden="0"/>
    </x:xf>
    <x:xf numFmtId="164" fontId="5" fillId="3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3" borderId="1" xfId="0" applyFont="1" applyBorder="1" applyAlignment="1" applyProtection="0">
      <x:alignment horizontal="general" vertical="top" wrapText="1" shrinkToFit="0"/>
      <x:protection locked="1" hidden="0"/>
    </x:xf>
    <x:xf numFmtId="165" fontId="7" fillId="3" borderId="1" xfId="0" applyFont="1" applyBorder="1" applyAlignment="1" applyProtection="0">
      <x:alignment horizontal="general" vertical="top" wrapText="1" shrinkToFit="0"/>
      <x:protection locked="1" hidden="0"/>
    </x:xf>
    <x:xf numFmtId="164" fontId="5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0" borderId="1" xfId="0" applyFont="1" applyBorder="1" applyAlignment="1" applyProtection="0">
      <x:alignment horizontal="general" vertical="top" wrapText="1" shrinkToFit="0"/>
      <x:protection locked="1" hidden="0"/>
    </x:xf>
    <x:xf numFmtId="165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6" fontId="7" fillId="3" borderId="1" xfId="0" applyFont="1" applyBorder="1" applyAlignment="1" applyProtection="0">
      <x:alignment horizontal="general" vertical="top" wrapText="1" shrinkToFit="0"/>
      <x:protection locked="1" hidden="0"/>
    </x:xf>
    <x:xf numFmtId="166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7" fontId="8" fillId="3" borderId="1" xfId="0" applyFont="1" applyBorder="1" applyAlignment="1" applyProtection="0">
      <x:alignment horizontal="general" vertical="top" wrapText="1" shrinkToFit="0"/>
      <x:protection locked="1" hidden="0"/>
    </x:xf>
    <x:xf numFmtId="167" fontId="8" fillId="0" borderId="1" xfId="0" applyFont="1" applyBorder="1" applyAlignment="1" applyProtection="0">
      <x:alignment horizontal="general" vertical="top" wrapText="1" shrinkToFit="0"/>
      <x:protection locked="1" hidden="0"/>
    </x:xf>
    <x:xf numFmtId="168" fontId="8" fillId="0" borderId="1" xfId="0" applyFont="1" applyBorder="1" applyAlignment="1" applyProtection="0">
      <x:alignment horizontal="general" vertical="top" wrapText="1" shrinkToFit="0"/>
      <x:protection locked="1" hidden="0"/>
    </x:xf>
    <x:xf numFmtId="168" fontId="8" fillId="3" borderId="1" xfId="0" applyFont="1" applyBorder="1" applyAlignment="1" applyProtection="0">
      <x:alignment horizontal="general" vertical="top" wrapText="1" shrinkToFit="0"/>
      <x:protection locked="1" hidden="0"/>
    </x:xf>
    <x:xf numFmtId="169" fontId="8" fillId="0" borderId="1" xfId="0" applyFont="1" applyBorder="1" applyAlignment="1" applyProtection="0">
      <x:alignment horizontal="general" vertical="top" wrapText="1" shrinkToFit="0"/>
      <x:protection locked="1" hidden="0"/>
    </x:xf>
    <x:xf numFmtId="165" fontId="8" fillId="0" borderId="1" xfId="0" applyFont="1" applyBorder="1" applyAlignment="1" applyProtection="0">
      <x:alignment horizontal="general" vertical="top" wrapText="1" shrinkToFit="0"/>
      <x:protection locked="1" hidden="0"/>
    </x:xf>
    <x:xf numFmtId="165" fontId="8" fillId="3" borderId="1" xfId="0" applyFont="1" applyBorder="1" applyAlignment="1" applyProtection="0">
      <x:alignment horizontal="general" vertical="top" wrapText="1" shrinkToFit="0"/>
      <x:protection locked="1" hidden="0"/>
    </x:xf>
    <x:xf numFmtId="170" fontId="8" fillId="3" borderId="1" xfId="0" applyFont="1" applyBorder="1" applyAlignment="1" applyProtection="0">
      <x:alignment horizontal="general" vertical="top" wrapText="1" shrinkToFit="0"/>
      <x:protection locked="1" hidden="0"/>
    </x:xf>
    <x:xf numFmtId="170" fontId="8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3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7" fontId="10" fillId="0" borderId="0" xfId="0" applyNumberFormat="1" applyFont="1" applyFill="1" applyBorder="1" applyAlignment="1">
      <x:alignment horizontal="general" vertical="bottom" wrapText="0"/>
    </x:xf>
    <x:xf numFmtId="168" fontId="10" fillId="0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0"/>
    </x:xf>
    <x:xf numFmtId="167" fontId="10" fillId="4" borderId="0" xfId="0" applyNumberFormat="1" applyFont="1" applyFill="1" applyBorder="1" applyAlignment="1">
      <x:alignment horizontal="general" vertical="bottom" wrapText="0"/>
    </x:xf>
    <x:xf numFmtId="168" fontId="10" fillId="4" borderId="0" xfId="0" applyNumberFormat="1" applyFont="1" applyFill="1" applyBorder="1" applyAlignment="1">
      <x:alignment horizontal="general" vertical="bottom" wrapText="0"/>
    </x:xf>
    <x:xf numFmtId="164" fontId="10" fillId="4" borderId="0" xfId="0" applyNumberFormat="1" applyFont="1" applyFill="1" applyBorder="1" applyAlignment="1">
      <x:alignment horizontal="general" vertical="bottom" wrapText="1"/>
    </x:xf>
    <x:xf numFmtId="167" fontId="10" fillId="4" borderId="0" xfId="0" applyNumberFormat="1" applyFont="1" applyFill="1" applyBorder="1" applyAlignment="1">
      <x:alignment horizontal="general" vertical="bottom" wrapText="1"/>
    </x:xf>
    <x:xf numFmtId="168" fontId="10" fillId="4" borderId="0" xfId="0" applyNumberFormat="1" applyFont="1" applyFill="1" applyBorder="1" applyAlignment="1">
      <x:alignment horizontal="general" vertical="bottom" wrapText="1"/>
    </x:xf>
    <x:xf numFmtId="164" fontId="10" fillId="4" borderId="0" xfId="0" applyNumberFormat="1" applyFont="1" applyFill="1" applyBorder="1" applyAlignment="1">
      <x:alignment horizontal="general" vertical="center" wrapText="1"/>
    </x:xf>
    <x:xf numFmtId="167" fontId="10" fillId="4" borderId="0" xfId="0" applyNumberFormat="1" applyFont="1" applyFill="1" applyBorder="1" applyAlignment="1">
      <x:alignment horizontal="general" vertical="center" wrapText="1"/>
    </x:xf>
    <x:xf numFmtId="168" fontId="10" fillId="4" borderId="0" xfId="0" applyNumberFormat="1" applyFont="1" applyFill="1" applyBorder="1" applyAlignment="1">
      <x:alignment horizontal="general" vertical="center" wrapText="1"/>
    </x:xf>
    <x:xf numFmtId="164" fontId="10" fillId="4" borderId="2" xfId="0" applyNumberFormat="1" applyFont="1" applyFill="1" applyBorder="1" applyAlignment="1">
      <x:alignment horizontal="general" vertical="center" wrapText="1"/>
    </x:xf>
    <x:xf numFmtId="167" fontId="10" fillId="4" borderId="2" xfId="0" applyNumberFormat="1" applyFont="1" applyFill="1" applyBorder="1" applyAlignment="1">
      <x:alignment horizontal="general" vertical="center" wrapText="1"/>
    </x:xf>
    <x:xf numFmtId="168" fontId="10" fillId="4" borderId="2" xfId="0" applyNumberFormat="1" applyFont="1" applyFill="1" applyBorder="1" applyAlignment="1">
      <x:alignment horizontal="general" vertical="center" wrapText="1"/>
    </x:xf>
    <x:xf numFmtId="164" fontId="11" fillId="4" borderId="2" xfId="0" applyNumberFormat="1" applyFont="1" applyFill="1" applyBorder="1" applyAlignment="1">
      <x:alignment horizontal="general" vertical="center" wrapText="1"/>
    </x:xf>
    <x:xf numFmtId="164" fontId="11" fillId="5" borderId="2" xfId="0" applyNumberFormat="1" applyFont="1" applyFill="1" applyBorder="1" applyAlignment="1">
      <x:alignment horizontal="general" vertical="center" wrapText="1"/>
    </x:xf>
    <x:xf numFmtId="164" fontId="10" fillId="2" borderId="1" xfId="0" applyNumberFormat="1" applyFont="1" applyFill="1" applyBorder="1" applyAlignment="1">
      <x:alignment horizontal="general" vertical="top" wrapText="1"/>
    </x:xf>
    <x:xf numFmtId="164" fontId="12" fillId="3" borderId="1" xfId="0" applyNumberFormat="1" applyFont="1" applyFill="1" applyBorder="1" applyAlignment="1">
      <x:alignment horizontal="general" vertical="top" wrapText="1"/>
    </x:xf>
    <x:xf numFmtId="164" fontId="10" fillId="3" borderId="1" xfId="0" applyNumberFormat="1" applyFont="1" applyFill="1" applyBorder="1" applyAlignment="1">
      <x:alignment horizontal="general" vertical="top" wrapText="1"/>
    </x:xf>
    <x:xf numFmtId="165" fontId="12" fillId="3" borderId="1" xfId="0" applyNumberFormat="1" applyFont="1" applyFill="1" applyBorder="1" applyAlignment="1">
      <x:alignment horizontal="general" vertical="top" wrapText="1"/>
    </x:xf>
    <x:xf numFmtId="164" fontId="12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5" fontId="12" fillId="0" borderId="1" xfId="0" applyNumberFormat="1" applyFont="1" applyFill="1" applyBorder="1" applyAlignment="1">
      <x:alignment horizontal="general" vertical="top" wrapText="1"/>
    </x:xf>
    <x:xf numFmtId="166" fontId="12" fillId="3" borderId="1" xfId="0" applyNumberFormat="1" applyFont="1" applyFill="1" applyBorder="1" applyAlignment="1">
      <x:alignment horizontal="general" vertical="top" wrapText="1"/>
    </x:xf>
    <x:xf numFmtId="166" fontId="12" fillId="0" borderId="1" xfId="0" applyNumberFormat="1" applyFont="1" applyFill="1" applyBorder="1" applyAlignment="1">
      <x:alignment horizontal="general" vertical="top" wrapText="1"/>
    </x:xf>
    <x:xf numFmtId="164" fontId="10" fillId="4" borderId="1" xfId="0" applyNumberFormat="1" applyFont="1" applyFill="1" applyBorder="1" applyAlignment="1">
      <x:alignment horizontal="general" vertical="top" wrapText="1"/>
    </x:xf>
    <x:xf numFmtId="164" fontId="12" fillId="4" borderId="1" xfId="0" applyNumberFormat="1" applyFont="1" applyFill="1" applyBorder="1" applyAlignment="1">
      <x:alignment horizontal="general" vertical="top" wrapText="1"/>
    </x:xf>
    <x:xf numFmtId="165" fontId="12" fillId="4" borderId="1" xfId="0" applyNumberFormat="1" applyFont="1" applyFill="1" applyBorder="1" applyAlignment="1">
      <x:alignment horizontal="general" vertical="top" wrapText="1"/>
    </x:xf>
    <x:xf numFmtId="166" fontId="12" fillId="4" borderId="1" xfId="0" applyNumberFormat="1" applyFont="1" applyFill="1" applyBorder="1" applyAlignment="1">
      <x:alignment horizontal="general" vertical="top" wrapText="1"/>
    </x:xf>
    <x:xf numFmtId="164" fontId="10" fillId="4" borderId="1" xfId="0" applyNumberFormat="1" applyFont="1" applyFill="1" applyBorder="1" applyAlignment="1">
      <x:alignment horizontal="general" vertical="center" wrapText="1"/>
    </x:xf>
    <x:xf numFmtId="164" fontId="12" fillId="4" borderId="1" xfId="0" applyNumberFormat="1" applyFont="1" applyFill="1" applyBorder="1" applyAlignment="1">
      <x:alignment horizontal="general" vertical="center" wrapText="1"/>
    </x:xf>
    <x:xf numFmtId="165" fontId="12" fillId="4" borderId="1" xfId="0" applyNumberFormat="1" applyFont="1" applyFill="1" applyBorder="1" applyAlignment="1">
      <x:alignment horizontal="general" vertical="center" wrapText="1"/>
    </x:xf>
    <x:xf numFmtId="166" fontId="12" fillId="4" borderId="1" xfId="0" applyNumberFormat="1" applyFont="1" applyFill="1" applyBorder="1" applyAlignment="1">
      <x:alignment horizontal="general" vertical="center" wrapText="1"/>
    </x:xf>
    <x:xf numFmtId="164" fontId="12" fillId="4" borderId="2" xfId="0" applyNumberFormat="1" applyFont="1" applyFill="1" applyBorder="1" applyAlignment="1">
      <x:alignment horizontal="general" vertical="center" wrapText="1"/>
    </x:xf>
    <x:xf numFmtId="165" fontId="12" fillId="4" borderId="2" xfId="0" applyNumberFormat="1" applyFont="1" applyFill="1" applyBorder="1" applyAlignment="1">
      <x:alignment horizontal="general" vertical="center" wrapText="1"/>
    </x:xf>
    <x:xf numFmtId="166" fontId="12" fillId="4" borderId="2" xfId="0" applyNumberFormat="1" applyFont="1" applyFill="1" applyBorder="1" applyAlignment="1">
      <x:alignment horizontal="general" vertical="center" wrapText="1"/>
    </x:xf>
    <x:xf numFmtId="167" fontId="12" fillId="3" borderId="1" xfId="0" applyNumberFormat="1" applyFont="1" applyFill="1" applyBorder="1" applyAlignment="1">
      <x:alignment horizontal="general" vertical="top" wrapText="1"/>
    </x:xf>
    <x:xf numFmtId="167" fontId="12" fillId="0" borderId="1" xfId="0" applyNumberFormat="1" applyFont="1" applyFill="1" applyBorder="1" applyAlignment="1">
      <x:alignment horizontal="general" vertical="top" wrapText="1"/>
    </x:xf>
    <x:xf numFmtId="168" fontId="12" fillId="0" borderId="1" xfId="0" applyNumberFormat="1" applyFont="1" applyFill="1" applyBorder="1" applyAlignment="1">
      <x:alignment horizontal="general" vertical="top" wrapText="1"/>
    </x:xf>
    <x:xf numFmtId="168" fontId="12" fillId="3" borderId="1" xfId="0" applyNumberFormat="1" applyFont="1" applyFill="1" applyBorder="1" applyAlignment="1">
      <x:alignment horizontal="general" vertical="top" wrapText="1"/>
    </x:xf>
    <x:xf numFmtId="169" fontId="12" fillId="0" borderId="1" xfId="0" applyNumberFormat="1" applyFont="1" applyFill="1" applyBorder="1" applyAlignment="1">
      <x:alignment horizontal="general" vertical="top" wrapText="1"/>
    </x:xf>
    <x:xf numFmtId="170" fontId="12" fillId="3" borderId="1" xfId="0" applyNumberFormat="1" applyFont="1" applyFill="1" applyBorder="1" applyAlignment="1">
      <x:alignment horizontal="general" vertical="top" wrapText="1"/>
    </x:xf>
    <x:xf numFmtId="170" fontId="12" fillId="0" borderId="1" xfId="0" applyNumberFormat="1" applyFont="1" applyFill="1" applyBorder="1" applyAlignment="1">
      <x:alignment horizontal="general" vertical="top" wrapText="1"/>
    </x:xf>
    <x:xf numFmtId="167" fontId="12" fillId="4" borderId="1" xfId="0" applyNumberFormat="1" applyFont="1" applyFill="1" applyBorder="1" applyAlignment="1">
      <x:alignment horizontal="general" vertical="top" wrapText="1"/>
    </x:xf>
    <x:xf numFmtId="168" fontId="12" fillId="4" borderId="1" xfId="0" applyNumberFormat="1" applyFont="1" applyFill="1" applyBorder="1" applyAlignment="1">
      <x:alignment horizontal="general" vertical="top" wrapText="1"/>
    </x:xf>
    <x:xf numFmtId="169" fontId="12" fillId="4" borderId="1" xfId="0" applyNumberFormat="1" applyFont="1" applyFill="1" applyBorder="1" applyAlignment="1">
      <x:alignment horizontal="general" vertical="top" wrapText="1"/>
    </x:xf>
    <x:xf numFmtId="170" fontId="12" fillId="4" borderId="1" xfId="0" applyNumberFormat="1" applyFont="1" applyFill="1" applyBorder="1" applyAlignment="1">
      <x:alignment horizontal="general" vertical="top" wrapText="1"/>
    </x:xf>
    <x:xf numFmtId="167" fontId="12" fillId="4" borderId="1" xfId="0" applyNumberFormat="1" applyFont="1" applyFill="1" applyBorder="1" applyAlignment="1">
      <x:alignment horizontal="general" vertical="center" wrapText="1"/>
    </x:xf>
    <x:xf numFmtId="168" fontId="12" fillId="4" borderId="1" xfId="0" applyNumberFormat="1" applyFont="1" applyFill="1" applyBorder="1" applyAlignment="1">
      <x:alignment horizontal="general" vertical="center" wrapText="1"/>
    </x:xf>
    <x:xf numFmtId="169" fontId="12" fillId="4" borderId="1" xfId="0" applyNumberFormat="1" applyFont="1" applyFill="1" applyBorder="1" applyAlignment="1">
      <x:alignment horizontal="general" vertical="center" wrapText="1"/>
    </x:xf>
    <x:xf numFmtId="170" fontId="12" fillId="4" borderId="1" xfId="0" applyNumberFormat="1" applyFont="1" applyFill="1" applyBorder="1" applyAlignment="1">
      <x:alignment horizontal="general" vertical="center" wrapText="1"/>
    </x:xf>
    <x:xf numFmtId="167" fontId="12" fillId="4" borderId="2" xfId="0" applyNumberFormat="1" applyFont="1" applyFill="1" applyBorder="1" applyAlignment="1">
      <x:alignment horizontal="general" vertical="center" wrapText="1"/>
    </x:xf>
    <x:xf numFmtId="168" fontId="12" fillId="4" borderId="2" xfId="0" applyNumberFormat="1" applyFont="1" applyFill="1" applyBorder="1" applyAlignment="1">
      <x:alignment horizontal="general" vertical="center" wrapText="1"/>
    </x:xf>
    <x:xf numFmtId="169" fontId="12" fillId="4" borderId="2" xfId="0" applyNumberFormat="1" applyFont="1" applyFill="1" applyBorder="1" applyAlignment="1">
      <x:alignment horizontal="general" vertical="center" wrapText="1"/>
    </x:xf>
    <x:xf numFmtId="170" fontId="12" fillId="4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7">
    <x:dxf>
      <x:fill>
        <x:patternFill>
          <x:bgColor rgb="FF203B52"/>
        </x:patternFill>
      </x:fill>
    </x:dxf>
    <x:dxf>
      <x:fill>
        <x:patternFill>
          <x:bgColor rgb="FFF1F5F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02D38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A0"/>
        </x:patternFill>
      </x:fill>
    </x:dxf>
    <x:dxf>
      <x:fill>
        <x:patternFill>
          <x:bgColor rgb="FF0080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A0"/>
      <x:rgbColor rgb="FF808000"/>
      <x:rgbColor rgb="FF800080"/>
      <x:rgbColor rgb="FF008080"/>
      <x:rgbColor rgb="FFC0C0C0"/>
      <x:rgbColor rgb="FF808080"/>
      <x:rgbColor rgb="FF9999FF"/>
      <x:rgbColor rgb="FF993366"/>
      <x:rgbColor rgb="FFF1F5F8"/>
      <x:rgbColor rgb="FFCCFFFF"/>
      <x:rgbColor rgb="FF660066"/>
      <x:rgbColor rgb="FFFF8080"/>
      <x:rgbColor rgb="FF0066CC"/>
      <x:rgbColor rgb="FFDCE3E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203B52"/>
      <x:rgbColor rgb="FF339966"/>
      <x:rgbColor rgb="FF003300"/>
      <x:rgbColor rgb="FF333300"/>
      <x:rgbColor rgb="FF993300"/>
      <x:rgbColor rgb="FF993366"/>
      <x:rgbColor rgb="FF333399"/>
      <x:rgbColor rgb="FF202D3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22969a4b7418e" /><Relationship Type="http://schemas.openxmlformats.org/officeDocument/2006/relationships/theme" Target="/xl/theme/theme1.xml" Id="R97945f68ffbf445b" /><Relationship Type="http://schemas.openxmlformats.org/officeDocument/2006/relationships/sharedStrings" Target="/xl/sharedStrings.xml" Id="R933c4013325d4f0e" /><Relationship Type="http://schemas.openxmlformats.org/officeDocument/2006/relationships/worksheet" Target="/xl/worksheets/sheet1.xml" Id="R2bd7dafdcbee4f05" /><Relationship Type="http://schemas.openxmlformats.org/officeDocument/2006/relationships/worksheet" Target="/xl/worksheets/sheet2.xml" Id="Re339dbb3ad584916" /><Relationship Type="http://schemas.openxmlformats.org/officeDocument/2006/relationships/worksheet" Target="/xl/worksheets/sheet3.xml" Id="Rd51f4786ba354e81" /><Relationship Type="http://schemas.openxmlformats.org/officeDocument/2006/relationships/worksheet" Target="/xl/worksheets/sheet4.xml" Id="Rbf88fe8b4f7a44bd" /><Relationship Type="http://schemas.openxmlformats.org/officeDocument/2006/relationships/worksheet" Target="/xl/worksheets/sheet5.xml" Id="Rec2429ff5b9e4f74" /><Relationship Type="http://schemas.openxmlformats.org/officeDocument/2006/relationships/worksheet" Target="/xl/worksheets/sheet6.xml" Id="Re747b02606364369" /><Relationship Type="http://schemas.openxmlformats.org/officeDocument/2006/relationships/worksheet" Target="/xl/worksheets/sheet7.xml" Id="R90d5ff795cd3416f" /><Relationship Type="http://schemas.openxmlformats.org/officeDocument/2006/relationships/worksheet" Target="/xl/worksheets/sheet8.xml" Id="R6898606cb1784cc2" /><Relationship Type="http://schemas.openxmlformats.org/officeDocument/2006/relationships/worksheet" Target="/xl/worksheets/sheet9.xml" Id="R133d50655dac4cc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0" hidden="0" customWidth="1"/>
    <x:col min="6" max="6" width="45" hidden="0" customWidth="1"/>
  </x:cols>
  <x:sheetData>
    <x:row r="1" ht="32" hidden="0" customHeight="1">
      <x:c r="A1" s="39" t="s">
        <x:v>0</x:v>
      </x:c>
      <x:c r="B1" s="39" t="s">
        <x:v>1</x:v>
      </x:c>
      <x:c r="C1" s="39" t="s">
        <x:v>2</x:v>
      </x:c>
      <x:c r="D1" s="39" t="s">
        <x:v>3</x:v>
      </x:c>
      <x:c r="E1" s="39" t="s">
        <x:v>4</x:v>
      </x:c>
      <x:c r="F1" s="39" t="s">
        <x:v>5</x:v>
      </x:c>
    </x:row>
    <x:row r="2" ht="32" hidden="0" customHeight="1">
      <x:c r="A2" s="57" t="s">
        <x:v>6</x:v>
      </x:c>
      <x:c r="B2" s="35" t="s">
        <x:v>7</x:v>
      </x:c>
      <x:c r="C2" s="58" t="n">
        <x:v>46234</x:v>
      </x:c>
      <x:c r="D2" s="35" t="s">
        <x:v>8</x:v>
      </x:c>
      <x:c r="E2" s="35" t="s">
        <x:v>9</x:v>
      </x:c>
      <x:c r="F2" s="35" t="s">
        <x:v>10</x:v>
      </x:c>
    </x:row>
    <x:row r="3" ht="32" hidden="0" customHeight="1">
      <x:c r="A3" s="57" t="s">
        <x:v>11</x:v>
      </x:c>
      <x:c r="B3" s="35" t="s">
        <x:v>12</x:v>
      </x:c>
      <x:c r="C3" s="58" t="n">
        <x:v>46241</x:v>
      </x:c>
      <x:c r="D3" s="35" t="s">
        <x:v>8</x:v>
      </x:c>
      <x:c r="E3" s="35" t="s">
        <x:v>9</x:v>
      </x:c>
      <x:c r="F3" s="35" t="s">
        <x:v>10</x:v>
      </x:c>
    </x:row>
    <x:row r="4" ht="32" hidden="0" customHeight="1">
      <x:c r="A4" s="57" t="s">
        <x:v>13</x:v>
      </x:c>
      <x:c r="B4" s="35" t="s">
        <x:v>14</x:v>
      </x:c>
      <x:c r="C4" s="58" t="n">
        <x:v>46235</x:v>
      </x:c>
      <x:c r="D4" s="35" t="s">
        <x:v>8</x:v>
      </x:c>
      <x:c r="E4" s="35" t="s">
        <x:v>9</x:v>
      </x:c>
      <x:c r="F4" s="35" t="s">
        <x:v>10</x:v>
      </x:c>
    </x:row>
    <x:row r="5" ht="32" hidden="0" customHeight="1">
      <x:c r="A5" s="57" t="s">
        <x:v>15</x:v>
      </x:c>
      <x:c r="B5" s="35" t="s">
        <x:v>16</x:v>
      </x:c>
      <x:c r="C5" s="58" t="n">
        <x:v>44777</x:v>
      </x:c>
      <x:c r="D5" s="35" t="s">
        <x:v>8</x:v>
      </x:c>
      <x:c r="E5" s="35" t="s">
        <x:v>17</x:v>
      </x:c>
      <x:c r="F5" s="35" t="s">
        <x:v>10</x:v>
      </x:c>
    </x:row>
    <x:row r="6" ht="32" hidden="0" customHeight="1">
      <x:c r="A6" s="57" t="s">
        <x:v>18</x:v>
      </x:c>
      <x:c r="B6" s="35" t="s">
        <x:v>19</x:v>
      </x:c>
      <x:c r="C6" s="58" t="n">
        <x:v>44931</x:v>
      </x:c>
      <x:c r="D6" s="35" t="s">
        <x:v>8</x:v>
      </x:c>
      <x:c r="E6" s="35" t="s">
        <x:v>20</x:v>
      </x:c>
      <x:c r="F6" s="35" t="s">
        <x:v>10</x:v>
      </x:c>
    </x:row>
    <x:row r="7" ht="32" hidden="0" customHeight="1">
      <x:c r="A7" s="57" t="s">
        <x:v>21</x:v>
      </x:c>
      <x:c r="B7" s="35" t="s">
        <x:v>22</x:v>
      </x:c>
      <x:c r="C7" s="58" t="n">
        <x:v>45127</x:v>
      </x:c>
      <x:c r="D7" s="35" t="s">
        <x:v>8</x:v>
      </x:c>
      <x:c r="E7" s="35" t="s">
        <x:v>23</x:v>
      </x:c>
      <x:c r="F7" s="35" t="s">
        <x:v>10</x:v>
      </x:c>
    </x:row>
    <x:row r="8" ht="32" hidden="0" customHeight="1">
      <x:c r="A8" s="57" t="s">
        <x:v>24</x:v>
      </x:c>
      <x:c r="B8" s="35" t="s">
        <x:v>25</x:v>
      </x:c>
      <x:c r="C8" s="58" t="n">
        <x:v>45239</x:v>
      </x:c>
      <x:c r="D8" s="35" t="s">
        <x:v>8</x:v>
      </x:c>
      <x:c r="E8" s="35" t="s">
        <x:v>26</x:v>
      </x:c>
      <x:c r="F8" s="35" t="s">
        <x:v>10</x:v>
      </x:c>
    </x:row>
    <x:row r="9" ht="32" hidden="0" customHeight="1">
      <x:c r="A9" s="57" t="s">
        <x:v>27</x:v>
      </x:c>
      <x:c r="B9" s="35" t="s">
        <x:v>28</x:v>
      </x:c>
      <x:c r="C9" s="58" t="n">
        <x:v>45240</x:v>
      </x:c>
      <x:c r="D9" s="35" t="s">
        <x:v>8</x:v>
      </x:c>
      <x:c r="E9" s="35" t="s">
        <x:v>26</x:v>
      </x:c>
      <x:c r="F9" s="35" t="s">
        <x:v>10</x:v>
      </x:c>
    </x:row>
    <x:row r="10" ht="32" hidden="0" customHeight="1">
      <x:c r="A10" s="57" t="s">
        <x:v>29</x:v>
      </x:c>
      <x:c r="B10" s="35" t="s">
        <x:v>30</x:v>
      </x:c>
      <x:c r="C10" s="58" t="n">
        <x:v>45240</x:v>
      </x:c>
      <x:c r="D10" s="35" t="s">
        <x:v>8</x:v>
      </x:c>
      <x:c r="E10" s="35" t="s">
        <x:v>31</x:v>
      </x:c>
      <x:c r="F10" s="35" t="s">
        <x:v>10</x:v>
      </x:c>
    </x:row>
    <x:row r="11" ht="32" hidden="0" customHeight="1">
      <x:c r="A11" s="57" t="s">
        <x:v>32</x:v>
      </x:c>
      <x:c r="B11" s="35" t="s">
        <x:v>33</x:v>
      </x:c>
      <x:c r="C11" s="58" t="n">
        <x:v>45241</x:v>
      </x:c>
      <x:c r="D11" s="35" t="s">
        <x:v>8</x:v>
      </x:c>
      <x:c r="E11" s="35" t="s">
        <x:v>34</x:v>
      </x:c>
      <x:c r="F11" s="35" t="s">
        <x:v>10</x:v>
      </x:c>
    </x:row>
    <x:row r="12" ht="32" hidden="0" customHeight="1">
      <x:c r="A12" s="57" t="s">
        <x:v>35</x:v>
      </x:c>
      <x:c r="B12" s="35" t="s">
        <x:v>36</x:v>
      </x:c>
      <x:c r="C12" s="58" t="n">
        <x:v>45257</x:v>
      </x:c>
      <x:c r="D12" s="35" t="s">
        <x:v>8</x:v>
      </x:c>
      <x:c r="E12" s="35" t="s">
        <x:v>37</x:v>
      </x:c>
      <x:c r="F12" s="35" t="s">
        <x:v>10</x:v>
      </x:c>
    </x:row>
    <x:row r="13" ht="32" hidden="0" customHeight="1">
      <x:c r="A13" s="57" t="s">
        <x:v>38</x:v>
      </x:c>
      <x:c r="B13" s="35" t="s">
        <x:v>39</x:v>
      </x:c>
      <x:c r="C13" s="58" t="n">
        <x:v>45258</x:v>
      </x:c>
      <x:c r="D13" s="35" t="s">
        <x:v>8</x:v>
      </x:c>
      <x:c r="E13" s="35" t="s">
        <x:v>40</x:v>
      </x:c>
      <x:c r="F13" s="35" t="s">
        <x:v>10</x:v>
      </x:c>
    </x:row>
    <x:row r="14" ht="32" hidden="0" customHeight="1">
      <x:c r="A14" s="57" t="s">
        <x:v>41</x:v>
      </x:c>
      <x:c r="B14" s="35" t="s">
        <x:v>42</x:v>
      </x:c>
      <x:c r="C14" s="58" t="n">
        <x:v>45259</x:v>
      </x:c>
      <x:c r="D14" s="35" t="s">
        <x:v>8</x:v>
      </x:c>
      <x:c r="E14" s="35" t="s">
        <x:v>40</x:v>
      </x:c>
      <x:c r="F14" s="35" t="s">
        <x:v>10</x:v>
      </x:c>
    </x:row>
    <x:row r="15" ht="32" hidden="0" customHeight="1">
      <x:c r="A15" s="57" t="s">
        <x:v>43</x:v>
      </x:c>
      <x:c r="B15" s="35" t="s">
        <x:v>44</x:v>
      </x:c>
      <x:c r="C15" s="58" t="n">
        <x:v>45275</x:v>
      </x:c>
      <x:c r="D15" s="35" t="s">
        <x:v>8</x:v>
      </x:c>
      <x:c r="E15" s="35" t="s">
        <x:v>45</x:v>
      </x:c>
      <x:c r="F15" s="35" t="s">
        <x:v>10</x:v>
      </x:c>
    </x:row>
    <x:row r="16" ht="32" hidden="0" customHeight="1">
      <x:c r="A16" s="57" t="s">
        <x:v>46</x:v>
      </x:c>
      <x:c r="B16" s="35" t="s">
        <x:v>47</x:v>
      </x:c>
      <x:c r="C16" s="58" t="n">
        <x:v>45279</x:v>
      </x:c>
      <x:c r="D16" s="35" t="s">
        <x:v>8</x:v>
      </x:c>
      <x:c r="E16" s="35" t="s">
        <x:v>48</x:v>
      </x:c>
      <x:c r="F16" s="35" t="s">
        <x:v>10</x:v>
      </x:c>
    </x:row>
    <x:row r="17" ht="32" hidden="0" customHeight="1">
      <x:c r="A17" s="57" t="s">
        <x:v>49</x:v>
      </x:c>
      <x:c r="B17" s="35" t="s">
        <x:v>50</x:v>
      </x:c>
      <x:c r="C17" s="58" t="n">
        <x:v>45280</x:v>
      </x:c>
      <x:c r="D17" s="35" t="s">
        <x:v>8</x:v>
      </x:c>
      <x:c r="E17" s="35" t="s">
        <x:v>51</x:v>
      </x:c>
      <x:c r="F17" s="35" t="s">
        <x:v>10</x:v>
      </x:c>
    </x:row>
    <x:row r="18" ht="32" hidden="0" customHeight="1">
      <x:c r="A18" s="57" t="s">
        <x:v>52</x:v>
      </x:c>
      <x:c r="B18" s="35" t="s">
        <x:v>53</x:v>
      </x:c>
      <x:c r="C18" s="58" t="n">
        <x:v>45282</x:v>
      </x:c>
      <x:c r="D18" s="35" t="s">
        <x:v>8</x:v>
      </x:c>
      <x:c r="E18" s="35" t="s">
        <x:v>54</x:v>
      </x:c>
      <x:c r="F18" s="35" t="s">
        <x:v>10</x:v>
      </x:c>
    </x:row>
    <x:row r="19" ht="32" hidden="0" customHeight="1">
      <x:c r="A19" s="57" t="s">
        <x:v>55</x:v>
      </x:c>
      <x:c r="B19" s="35" t="s">
        <x:v>56</x:v>
      </x:c>
      <x:c r="C19" s="58" t="n">
        <x:v>45286</x:v>
      </x:c>
      <x:c r="D19" s="35" t="s">
        <x:v>8</x:v>
      </x:c>
      <x:c r="E19" s="35" t="s">
        <x:v>57</x:v>
      </x:c>
      <x:c r="F19" s="35" t="s">
        <x:v>10</x:v>
      </x:c>
    </x:row>
    <x:row r="20" ht="32" hidden="0" customHeight="1">
      <x:c r="A20" s="57" t="s">
        <x:v>58</x:v>
      </x:c>
      <x:c r="B20" s="35" t="s">
        <x:v>59</x:v>
      </x:c>
      <x:c r="C20" s="58" t="n">
        <x:v>45287</x:v>
      </x:c>
      <x:c r="D20" s="35" t="s">
        <x:v>8</x:v>
      </x:c>
      <x:c r="E20" s="35" t="s">
        <x:v>60</x:v>
      </x:c>
      <x:c r="F20" s="35" t="s">
        <x:v>10</x:v>
      </x:c>
    </x:row>
    <x:row r="21" ht="32" hidden="0" customHeight="1">
      <x:c r="A21" s="57" t="s">
        <x:v>61</x:v>
      </x:c>
      <x:c r="B21" s="57" t="s">
        <x:v>62</x:v>
      </x:c>
      <x:c r="C21" s="58" t="n">
        <x:v>45291</x:v>
      </x:c>
      <x:c r="D21" s="35" t="s">
        <x:v>8</x:v>
      </x:c>
      <x:c r="E21" s="35" t="s">
        <x:v>63</x:v>
      </x:c>
      <x:c r="F21" s="35" t="s">
        <x:v>10</x:v>
      </x:c>
    </x:row>
    <x:row r="22" ht="32" hidden="0" customHeight="1">
      <x:c r="A22" s="57" t="s">
        <x:v>64</x:v>
      </x:c>
      <x:c r="B22" s="35" t="s">
        <x:v>65</x:v>
      </x:c>
      <x:c r="C22" s="58" t="n">
        <x:v>45330</x:v>
      </x:c>
      <x:c r="D22" s="35" t="s">
        <x:v>8</x:v>
      </x:c>
      <x:c r="E22" s="35" t="s">
        <x:v>60</x:v>
      </x:c>
      <x:c r="F22" s="35" t="s">
        <x:v>10</x:v>
      </x:c>
    </x:row>
    <x:row r="23" ht="32" hidden="0" customHeight="1">
      <x:c r="A23" s="57" t="s">
        <x:v>66</x:v>
      </x:c>
      <x:c r="B23" s="35" t="s">
        <x:v>67</x:v>
      </x:c>
      <x:c r="C23" s="58" t="n">
        <x:v>45412</x:v>
      </x:c>
      <x:c r="D23" s="35" t="s">
        <x:v>8</x:v>
      </x:c>
      <x:c r="E23" s="35" t="s">
        <x:v>68</x:v>
      </x:c>
      <x:c r="F23" s="35" t="s">
        <x:v>10</x:v>
      </x:c>
    </x:row>
    <x:row r="24" ht="32" hidden="0" customHeight="1">
      <x:c r="A24" s="57" t="s">
        <x:v>69</x:v>
      </x:c>
      <x:c r="B24" s="35" t="s">
        <x:v>70</x:v>
      </x:c>
      <x:c r="C24" s="58" t="n">
        <x:v>45407</x:v>
      </x:c>
      <x:c r="D24" s="35" t="s">
        <x:v>8</x:v>
      </x:c>
      <x:c r="E24" s="35" t="s">
        <x:v>71</x:v>
      </x:c>
      <x:c r="F24" s="35" t="s">
        <x:v>10</x:v>
      </x:c>
    </x:row>
    <x:row r="25" ht="32" hidden="0" customHeight="1">
      <x:c r="A25" s="57" t="s">
        <x:v>72</x:v>
      </x:c>
      <x:c r="B25" s="35" t="s">
        <x:v>73</x:v>
      </x:c>
      <x:c r="C25" s="58" t="n">
        <x:v>45409</x:v>
      </x:c>
      <x:c r="D25" s="35" t="s">
        <x:v>8</x:v>
      </x:c>
      <x:c r="E25" s="35" t="s">
        <x:v>74</x:v>
      </x:c>
      <x:c r="F25" s="35" t="s">
        <x:v>10</x:v>
      </x:c>
    </x:row>
    <x:row r="26" ht="32" hidden="0" customHeight="1">
      <x:c r="A26" s="57" t="s">
        <x:v>75</x:v>
      </x:c>
      <x:c r="B26" s="35" t="s">
        <x:v>76</x:v>
      </x:c>
      <x:c r="C26" s="58" t="n">
        <x:v>45458</x:v>
      </x:c>
      <x:c r="D26" s="35" t="s">
        <x:v>8</x:v>
      </x:c>
      <x:c r="E26" s="35" t="s">
        <x:v>77</x:v>
      </x:c>
      <x:c r="F26" s="35" t="s">
        <x:v>10</x:v>
      </x:c>
    </x:row>
    <x:row r="27" ht="32" hidden="0" customHeight="1">
      <x:c r="A27" s="57" t="s">
        <x:v>78</x:v>
      </x:c>
      <x:c r="B27" s="57" t="s">
        <x:v>79</x:v>
      </x:c>
      <x:c r="C27" s="58" t="n">
        <x:v>45657</x:v>
      </x:c>
      <x:c r="D27" s="35" t="s">
        <x:v>8</x:v>
      </x:c>
      <x:c r="E27" s="35" t="s">
        <x:v>80</x:v>
      </x:c>
      <x:c r="F27" s="35" t="s">
        <x:v>10</x:v>
      </x:c>
    </x:row>
    <x:row r="28" ht="32" hidden="0" customHeight="1">
      <x:c r="A28" s="57" t="s">
        <x:v>81</x:v>
      </x:c>
      <x:c r="B28" s="57" t="s">
        <x:v>82</x:v>
      </x:c>
      <x:c r="C28" s="58" t="n">
        <x:v>45838</x:v>
      </x:c>
      <x:c r="D28" s="35" t="s">
        <x:v>8</x:v>
      </x:c>
      <x:c r="E28" s="35" t="s">
        <x:v>83</x:v>
      </x:c>
      <x:c r="F28" s="35" t="s">
        <x:v>10</x:v>
      </x:c>
    </x:row>
    <x:row r="29" ht="32" hidden="0" customHeight="1">
      <x:c r="A29" s="57" t="s">
        <x:v>84</x:v>
      </x:c>
      <x:c r="B29" s="57" t="s">
        <x:v>85</x:v>
      </x:c>
      <x:c r="C29" s="58" t="n">
        <x:v>46022</x:v>
      </x:c>
      <x:c r="D29" s="35" t="s">
        <x:v>8</x:v>
      </x:c>
      <x:c r="E29" s="35" t="s">
        <x:v>86</x:v>
      </x:c>
      <x:c r="F29" s="35" t="s">
        <x:v>10</x:v>
      </x:c>
    </x:row>
    <x:row r="30" ht="32" hidden="0" customHeight="1">
      <x:c r="A30" s="57" t="s">
        <x:v>87</x:v>
      </x:c>
      <x:c r="B30" s="35" t="s">
        <x:v>88</x:v>
      </x:c>
      <x:c r="C30" s="58" t="n">
        <x:v>45765</x:v>
      </x:c>
      <x:c r="D30" s="35" t="s">
        <x:v>8</x:v>
      </x:c>
      <x:c r="E30" s="35" t="s">
        <x:v>89</x:v>
      </x:c>
      <x:c r="F30" s="35" t="s">
        <x:v>10</x:v>
      </x:c>
    </x:row>
    <x:row r="31" ht="32" hidden="0" customHeight="1">
      <x:c r="A31" s="57" t="s">
        <x:v>90</x:v>
      </x:c>
      <x:c r="B31" s="35" t="s">
        <x:v>91</x:v>
      </x:c>
      <x:c r="C31" s="58" t="n">
        <x:v>45769</x:v>
      </x:c>
      <x:c r="D31" s="35" t="s">
        <x:v>8</x:v>
      </x:c>
      <x:c r="E31" s="35" t="s">
        <x:v>89</x:v>
      </x:c>
      <x:c r="F31" s="35" t="s">
        <x:v>10</x:v>
      </x:c>
    </x:row>
    <x:row r="32" ht="32" hidden="0" customHeight="1">
      <x:c r="A32" s="57" t="s">
        <x:v>92</x:v>
      </x:c>
      <x:c r="B32" s="35" t="s">
        <x:v>93</x:v>
      </x:c>
      <x:c r="C32" s="58" t="n">
        <x:v>46214</x:v>
      </x:c>
      <x:c r="D32" s="35" t="s">
        <x:v>8</x:v>
      </x:c>
      <x:c r="E32" s="35" t="s">
        <x:v>94</x:v>
      </x:c>
      <x:c r="F32" s="35" t="s">
        <x:v>10</x:v>
      </x:c>
    </x:row>
    <x:row r="33" ht="32" hidden="0" customHeight="1">
      <x:c r="A33" s="57" t="s">
        <x:v>95</x:v>
      </x:c>
      <x:c r="B33" s="35" t="s">
        <x:v>96</x:v>
      </x:c>
      <x:c r="C33" s="58" t="n">
        <x:v>44651</x:v>
      </x:c>
      <x:c r="D33" s="35" t="s">
        <x:v>8</x:v>
      </x:c>
      <x:c r="E33" s="35" t="s">
        <x:v>97</x:v>
      </x:c>
      <x:c r="F33" s="35" t="s">
        <x:v>10</x:v>
      </x:c>
    </x:row>
    <x:row r="34" ht="32" hidden="0" customHeight="1">
      <x:c r="A34" s="57" t="s">
        <x:v>98</x:v>
      </x:c>
      <x:c r="B34" s="35" t="s">
        <x:v>99</x:v>
      </x:c>
      <x:c r="C34" s="58" t="n">
        <x:v>45730</x:v>
      </x:c>
      <x:c r="D34" s="35" t="s">
        <x:v>8</x:v>
      </x:c>
      <x:c r="E34" s="35" t="s">
        <x:v>100</x:v>
      </x:c>
      <x:c r="F34" s="35" t="s">
        <x:v>10</x:v>
      </x:c>
    </x:row>
    <x:row r="35" ht="32" hidden="0" customHeight="1">
      <x:c r="A35" s="57" t="s">
        <x:v>101</x:v>
      </x:c>
      <x:c r="B35" s="57" t="s">
        <x:v>102</x:v>
      </x:c>
      <x:c r="C35" s="58" t="n">
        <x:v>45657</x:v>
      </x:c>
      <x:c r="D35" s="35" t="s">
        <x:v>8</x:v>
      </x:c>
      <x:c r="E35" s="35" t="s">
        <x:v>103</x:v>
      </x:c>
      <x:c r="F35" s="35" t="s">
        <x:v>10</x:v>
      </x:c>
    </x:row>
    <x:row r="36" ht="32" hidden="0" customHeight="1">
      <x:c r="A36" s="57" t="s">
        <x:v>104</x:v>
      </x:c>
      <x:c r="B36" s="35" t="s">
        <x:v>105</x:v>
      </x:c>
      <x:c r="C36" s="59" t="n">
        <x:v>12395676971.17</x:v>
      </x:c>
      <x:c r="D36" s="35" t="s">
        <x:v>106</x:v>
      </x:c>
      <x:c r="E36" s="35" t="s">
        <x:v>107</x:v>
      </x:c>
      <x:c r="F36" s="35" t="s">
        <x:v>10</x:v>
      </x:c>
    </x:row>
    <x:row r="37" ht="32" hidden="0" customHeight="1">
      <x:c r="A37" s="57" t="s">
        <x:v>108</x:v>
      </x:c>
      <x:c r="B37" s="35" t="s">
        <x:v>109</x:v>
      </x:c>
      <x:c r="C37" s="59" t="n">
        <x:v>12395676971.17</x:v>
      </x:c>
      <x:c r="D37" s="35" t="s">
        <x:v>106</x:v>
      </x:c>
      <x:c r="E37" s="35" t="s">
        <x:v>110</x:v>
      </x:c>
      <x:c r="F37" s="35" t="s">
        <x:v>10</x:v>
      </x:c>
    </x:row>
    <x:row r="38" ht="32" hidden="0" customHeight="1">
      <x:c r="A38" s="57" t="s">
        <x:v>111</x:v>
      </x:c>
      <x:c r="B38" s="35" t="s">
        <x:v>112</x:v>
      </x:c>
      <x:c r="C38" s="59" t="n">
        <x:v>2954336335.89</x:v>
      </x:c>
      <x:c r="D38" s="35" t="s">
        <x:v>106</x:v>
      </x:c>
      <x:c r="E38" s="35" t="s">
        <x:v>113</x:v>
      </x:c>
      <x:c r="F38" s="35" t="s">
        <x:v>10</x:v>
      </x:c>
    </x:row>
    <x:row r="39" ht="32" hidden="0" customHeight="1">
      <x:c r="A39" s="57" t="s">
        <x:v>114</x:v>
      </x:c>
      <x:c r="B39" s="35" t="s">
        <x:v>115</x:v>
      </x:c>
      <x:c r="C39" s="59" t="n">
        <x:v>1565680018.21</x:v>
      </x:c>
      <x:c r="D39" s="35" t="s">
        <x:v>106</x:v>
      </x:c>
      <x:c r="E39" s="35" t="s">
        <x:v>113</x:v>
      </x:c>
      <x:c r="F39" s="35" t="s">
        <x:v>10</x:v>
      </x:c>
    </x:row>
    <x:row r="40" ht="32" hidden="0" customHeight="1">
      <x:c r="A40" s="57" t="s">
        <x:v>116</x:v>
      </x:c>
      <x:c r="B40" s="35" t="s">
        <x:v>117</x:v>
      </x:c>
      <x:c r="C40" s="59" t="n">
        <x:v>7848225069.43</x:v>
      </x:c>
      <x:c r="D40" s="35" t="s">
        <x:v>106</x:v>
      </x:c>
      <x:c r="E40" s="35" t="s">
        <x:v>118</x:v>
      </x:c>
      <x:c r="F40" s="35" t="s">
        <x:v>10</x:v>
      </x:c>
    </x:row>
    <x:row r="41" ht="32" hidden="0" customHeight="1">
      <x:c r="A41" s="57" t="s">
        <x:v>119</x:v>
      </x:c>
      <x:c r="B41" s="35" t="s">
        <x:v>120</x:v>
      </x:c>
      <x:c r="C41" s="59" t="n">
        <x:v>3045</x:v>
      </x:c>
      <x:c r="D41" s="35" t="s">
        <x:v>121</x:v>
      </x:c>
      <x:c r="E41" s="35" t="s">
        <x:v>118</x:v>
      </x:c>
      <x:c r="F41" s="35" t="s">
        <x:v>10</x:v>
      </x:c>
    </x:row>
    <x:row r="42" ht="32" hidden="0" customHeight="1">
      <x:c r="A42" s="57" t="s">
        <x:v>122</x:v>
      </x:c>
      <x:c r="B42" s="35" t="s">
        <x:v>123</x:v>
      </x:c>
      <x:c r="C42" s="59" t="n">
        <x:v>910585636.44</x:v>
      </x:c>
      <x:c r="D42" s="35" t="s">
        <x:v>106</x:v>
      </x:c>
      <x:c r="E42" s="35" t="s">
        <x:v>107</x:v>
      </x:c>
      <x:c r="F42" s="35" t="s">
        <x:v>10</x:v>
      </x:c>
    </x:row>
    <x:row r="43" ht="32" hidden="0" customHeight="1">
      <x:c r="A43" s="57" t="s">
        <x:v>124</x:v>
      </x:c>
      <x:c r="B43" s="35" t="s">
        <x:v>125</x:v>
      </x:c>
      <x:c r="C43" s="59" t="n">
        <x:v>414</x:v>
      </x:c>
      <x:c r="D43" s="35" t="s">
        <x:v>121</x:v>
      </x:c>
      <x:c r="E43" s="35" t="s">
        <x:v>107</x:v>
      </x:c>
      <x:c r="F43" s="35" t="s">
        <x:v>10</x:v>
      </x:c>
    </x:row>
    <x:row r="44" ht="32" hidden="0" customHeight="1">
      <x:c r="A44" s="57" t="s">
        <x:v>126</x:v>
      </x:c>
      <x:c r="B44" s="35" t="s">
        <x:v>127</x:v>
      </x:c>
      <x:c r="C44" s="59" t="n">
        <x:v>27435547.64</x:v>
      </x:c>
      <x:c r="D44" s="35" t="s">
        <x:v>106</x:v>
      </x:c>
      <x:c r="E44" s="35" t="s">
        <x:v>118</x:v>
      </x:c>
      <x:c r="F44" s="35" t="s">
        <x:v>10</x:v>
      </x:c>
    </x:row>
    <x:row r="45" ht="32" hidden="0" customHeight="1">
      <x:c r="A45" s="57" t="s">
        <x:v>128</x:v>
      </x:c>
      <x:c r="B45" s="35" t="s">
        <x:v>129</x:v>
      </x:c>
      <x:c r="C45" s="59" t="n">
        <x:v>2988255505.46</x:v>
      </x:c>
      <x:c r="D45" s="35" t="s">
        <x:v>106</x:v>
      </x:c>
      <x:c r="E45" s="35" t="s">
        <x:v>130</x:v>
      </x:c>
      <x:c r="F45" s="35" t="s">
        <x:v>10</x:v>
      </x:c>
    </x:row>
    <x:row r="46" ht="32" hidden="0" customHeight="1">
      <x:c r="A46" s="57" t="s">
        <x:v>131</x:v>
      </x:c>
      <x:c r="B46" s="35" t="s">
        <x:v>132</x:v>
      </x:c>
      <x:c r="C46" s="59" t="n">
        <x:v>2364322051.14</x:v>
      </x:c>
      <x:c r="D46" s="35" t="s">
        <x:v>106</x:v>
      </x:c>
      <x:c r="E46" s="35" t="s">
        <x:v>130</x:v>
      </x:c>
      <x:c r="F46" s="35" t="s">
        <x:v>10</x:v>
      </x:c>
    </x:row>
    <x:row r="47" ht="32" hidden="0" customHeight="1">
      <x:c r="A47" s="57" t="s">
        <x:v>133</x:v>
      </x:c>
      <x:c r="B47" s="35" t="s">
        <x:v>134</x:v>
      </x:c>
      <x:c r="C47" s="59" t="n">
        <x:v>7</x:v>
      </x:c>
      <x:c r="D47" s="35" t="s">
        <x:v>121</x:v>
      </x:c>
      <x:c r="E47" s="35" t="s">
        <x:v>130</x:v>
      </x:c>
      <x:c r="F47" s="35" t="s">
        <x:v>10</x:v>
      </x:c>
    </x:row>
    <x:row r="48" ht="32" hidden="0" customHeight="1">
      <x:c r="A48" s="57" t="s">
        <x:v>135</x:v>
      </x:c>
      <x:c r="B48" s="35" t="s">
        <x:v>136</x:v>
      </x:c>
      <x:c r="C48" s="59" t="n">
        <x:v>5</x:v>
      </x:c>
      <x:c r="D48" s="35" t="s">
        <x:v>121</x:v>
      </x:c>
      <x:c r="E48" s="35" t="s">
        <x:v>130</x:v>
      </x:c>
      <x:c r="F48" s="35" t="s">
        <x:v>10</x:v>
      </x:c>
    </x:row>
    <x:row r="49" ht="32" hidden="0" customHeight="1">
      <x:c r="A49" s="57" t="s">
        <x:v>137</x:v>
      </x:c>
      <x:c r="B49" s="35" t="s">
        <x:v>138</x:v>
      </x:c>
      <x:c r="C49" s="59" t="n">
        <x:v>1571178513.94</x:v>
      </x:c>
      <x:c r="D49" s="35" t="s">
        <x:v>106</x:v>
      </x:c>
      <x:c r="E49" s="35" t="s">
        <x:v>130</x:v>
      </x:c>
      <x:c r="F49" s="35" t="s">
        <x:v>10</x:v>
      </x:c>
    </x:row>
    <x:row r="50" ht="32" hidden="0" customHeight="1">
      <x:c r="A50" s="57" t="s">
        <x:v>139</x:v>
      </x:c>
      <x:c r="B50" s="35" t="s">
        <x:v>140</x:v>
      </x:c>
      <x:c r="C50" s="59" t="n">
        <x:v>7954269770.2</x:v>
      </x:c>
      <x:c r="D50" s="35" t="s">
        <x:v>106</x:v>
      </x:c>
      <x:c r="E50" s="35" t="s">
        <x:v>130</x:v>
      </x:c>
      <x:c r="F50" s="35" t="s">
        <x:v>10</x:v>
      </x:c>
    </x:row>
    <x:row r="51" ht="32" hidden="0" customHeight="1">
      <x:c r="A51" s="57" t="s">
        <x:v>141</x:v>
      </x:c>
      <x:c r="B51" s="35" t="s">
        <x:v>142</x:v>
      </x:c>
      <x:c r="C51" s="59" t="n">
        <x:v>3259</x:v>
      </x:c>
      <x:c r="D51" s="35" t="s">
        <x:v>121</x:v>
      </x:c>
      <x:c r="E51" s="35" t="s">
        <x:v>130</x:v>
      </x:c>
      <x:c r="F51" s="35" t="s">
        <x:v>10</x:v>
      </x:c>
    </x:row>
    <x:row r="52" ht="32" hidden="0" customHeight="1">
      <x:c r="A52" s="57" t="s">
        <x:v>143</x:v>
      </x:c>
      <x:c r="B52" s="35" t="s">
        <x:v>144</x:v>
      </x:c>
      <x:c r="C52" s="59" t="n">
        <x:v>3159</x:v>
      </x:c>
      <x:c r="D52" s="35" t="s">
        <x:v>121</x:v>
      </x:c>
      <x:c r="E52" s="35" t="s">
        <x:v>130</x:v>
      </x:c>
      <x:c r="F52" s="35" t="s">
        <x:v>10</x:v>
      </x:c>
    </x:row>
    <x:row r="53" ht="32" hidden="0" customHeight="1">
      <x:c r="A53" s="57" t="s">
        <x:v>145</x:v>
      </x:c>
      <x:c r="B53" s="35" t="s">
        <x:v>146</x:v>
      </x:c>
      <x:c r="C53" s="59" t="n">
        <x:v>2888</x:v>
      </x:c>
      <x:c r="D53" s="35" t="s">
        <x:v>121</x:v>
      </x:c>
      <x:c r="E53" s="35" t="s">
        <x:v>130</x:v>
      </x:c>
      <x:c r="F53" s="35" t="s">
        <x:v>10</x:v>
      </x:c>
    </x:row>
    <x:row r="54" ht="32" hidden="0" customHeight="1">
      <x:c r="A54" s="57" t="s">
        <x:v>147</x:v>
      </x:c>
      <x:c r="B54" s="35" t="s">
        <x:v>148</x:v>
      </x:c>
      <x:c r="C54" s="59" t="n">
        <x:v>12540807331.17</x:v>
      </x:c>
      <x:c r="D54" s="35" t="s">
        <x:v>106</x:v>
      </x:c>
      <x:c r="E54" s="35" t="s">
        <x:v>149</x:v>
      </x:c>
      <x:c r="F54" s="35" t="s">
        <x:v>10</x:v>
      </x:c>
    </x:row>
    <x:row r="55" ht="32" hidden="0" customHeight="1">
      <x:c r="A55" s="57" t="s">
        <x:v>150</x:v>
      </x:c>
      <x:c r="B55" s="35" t="s">
        <x:v>151</x:v>
      </x:c>
      <x:c r="C55" s="59" t="n">
        <x:v>642730425.18</x:v>
      </x:c>
      <x:c r="D55" s="35" t="s">
        <x:v>106</x:v>
      </x:c>
      <x:c r="E55" s="35" t="s">
        <x:v>149</x:v>
      </x:c>
      <x:c r="F55" s="35" t="s">
        <x:v>10</x:v>
      </x:c>
    </x:row>
    <x:row r="56" ht="32" hidden="0" customHeight="1">
      <x:c r="A56" s="57" t="s">
        <x:v>152</x:v>
      </x:c>
      <x:c r="B56" s="35" t="s">
        <x:v>153</x:v>
      </x:c>
      <x:c r="C56" s="59" t="n">
        <x:v>22302013.39</x:v>
      </x:c>
      <x:c r="D56" s="35" t="s">
        <x:v>106</x:v>
      </x:c>
      <x:c r="E56" s="35" t="s">
        <x:v>154</x:v>
      </x:c>
      <x:c r="F56" s="35" t="s">
        <x:v>10</x:v>
      </x:c>
    </x:row>
    <x:row r="57" ht="32" hidden="0" customHeight="1">
      <x:c r="A57" s="57" t="s">
        <x:v>155</x:v>
      </x:c>
      <x:c r="B57" s="35" t="s">
        <x:v>156</x:v>
      </x:c>
      <x:c r="C57" s="59" t="n">
        <x:v>1</x:v>
      </x:c>
      <x:c r="D57" s="35" t="s">
        <x:v>121</x:v>
      </x:c>
      <x:c r="E57" s="35" t="s">
        <x:v>157</x:v>
      </x:c>
      <x:c r="F57" s="35" t="s">
        <x:v>10</x:v>
      </x:c>
    </x:row>
    <x:row r="58" ht="32" hidden="0" customHeight="1">
      <x:c r="A58" s="57" t="s">
        <x:v>158</x:v>
      </x:c>
      <x:c r="B58" s="35" t="s">
        <x:v>159</x:v>
      </x:c>
      <x:c r="C58" s="59" t="n">
        <x:v>197190110.17</x:v>
      </x:c>
      <x:c r="D58" s="35" t="s">
        <x:v>106</x:v>
      </x:c>
      <x:c r="E58" s="35" t="s">
        <x:v>113</x:v>
      </x:c>
      <x:c r="F58" s="35" t="s">
        <x:v>10</x:v>
      </x:c>
    </x:row>
    <x:row r="59" ht="32" hidden="0" customHeight="1">
      <x:c r="A59" s="57" t="s">
        <x:v>160</x:v>
      </x:c>
      <x:c r="B59" s="35" t="s">
        <x:v>161</x:v>
      </x:c>
      <x:c r="C59" s="59" t="n">
        <x:v>426743344.15</x:v>
      </x:c>
      <x:c r="D59" s="35" t="s">
        <x:v>106</x:v>
      </x:c>
      <x:c r="E59" s="35" t="s">
        <x:v>113</x:v>
      </x:c>
      <x:c r="F59" s="35" t="s">
        <x:v>10</x:v>
      </x:c>
    </x:row>
    <x:row r="60" ht="32" hidden="0" customHeight="1">
      <x:c r="A60" s="57" t="s">
        <x:v>162</x:v>
      </x:c>
      <x:c r="B60" s="35" t="s">
        <x:v>163</x:v>
      </x:c>
      <x:c r="C60" s="59" t="n">
        <x:v>552597251.53</x:v>
      </x:c>
      <x:c r="D60" s="35" t="s">
        <x:v>106</x:v>
      </x:c>
      <x:c r="E60" s="35" t="s">
        <x:v>157</x:v>
      </x:c>
      <x:c r="F60" s="35" t="s">
        <x:v>10</x:v>
      </x:c>
    </x:row>
    <x:row r="61" ht="32" hidden="0" customHeight="1">
      <x:c r="A61" s="57" t="s">
        <x:v>164</x:v>
      </x:c>
      <x:c r="B61" s="35" t="s">
        <x:v>165</x:v>
      </x:c>
      <x:c r="C61" s="59" t="n">
        <x:v>122698537</x:v>
      </x:c>
      <x:c r="D61" s="35" t="s">
        <x:v>166</x:v>
      </x:c>
      <x:c r="E61" s="35" t="s">
        <x:v>167</x:v>
      </x:c>
      <x:c r="F61" s="35" t="s">
        <x:v>10</x:v>
      </x:c>
    </x:row>
    <x:row r="62" ht="32" hidden="0" customHeight="1">
      <x:c r="A62" s="57" t="s">
        <x:v>168</x:v>
      </x:c>
      <x:c r="B62" s="35" t="s">
        <x:v>169</x:v>
      </x:c>
      <x:c r="C62" s="59" t="n">
        <x:v>30000000</x:v>
      </x:c>
      <x:c r="D62" s="35" t="s">
        <x:v>166</x:v>
      </x:c>
      <x:c r="E62" s="35" t="s">
        <x:v>167</x:v>
      </x:c>
      <x:c r="F62" s="35" t="s">
        <x:v>10</x:v>
      </x:c>
    </x:row>
    <x:row r="63" ht="32" hidden="0" customHeight="1">
      <x:c r="A63" s="57" t="s">
        <x:v>170</x:v>
      </x:c>
      <x:c r="B63" s="35" t="s">
        <x:v>171</x:v>
      </x:c>
      <x:c r="C63" s="59" t="n">
        <x:v>152698537</x:v>
      </x:c>
      <x:c r="D63" s="35" t="s">
        <x:v>166</x:v>
      </x:c>
      <x:c r="E63" s="35" t="s">
        <x:v>172</x:v>
      </x:c>
      <x:c r="F63" s="35" t="s">
        <x:v>10</x:v>
      </x:c>
    </x:row>
    <x:row r="64" ht="32" hidden="0" customHeight="1">
      <x:c r="A64" s="57" t="s">
        <x:v>173</x:v>
      </x:c>
      <x:c r="B64" s="35" t="s">
        <x:v>174</x:v>
      </x:c>
      <x:c r="C64" s="59" t="n">
        <x:v>825211720</x:v>
      </x:c>
      <x:c r="D64" s="35" t="s">
        <x:v>106</x:v>
      </x:c>
      <x:c r="E64" s="35" t="s">
        <x:v>175</x:v>
      </x:c>
      <x:c r="F64" s="35" t="s">
        <x:v>10</x:v>
      </x:c>
    </x:row>
    <x:row r="65" ht="32" hidden="0" customHeight="1">
      <x:c r="A65" s="57" t="s">
        <x:v>176</x:v>
      </x:c>
      <x:c r="B65" s="35" t="s">
        <x:v>177</x:v>
      </x:c>
      <x:c r="C65" s="59" t="n">
        <x:v>166000000</x:v>
      </x:c>
      <x:c r="D65" s="35" t="s">
        <x:v>166</x:v>
      </x:c>
      <x:c r="E65" s="35" t="s">
        <x:v>178</x:v>
      </x:c>
      <x:c r="F65" s="35" t="s">
        <x:v>10</x:v>
      </x:c>
    </x:row>
    <x:row r="66" ht="32" hidden="0" customHeight="1">
      <x:c r="A66" s="57" t="s">
        <x:v>179</x:v>
      </x:c>
      <x:c r="B66" s="35" t="s">
        <x:v>180</x:v>
      </x:c>
      <x:c r="C66" s="59" t="n">
        <x:v>172000000</x:v>
      </x:c>
      <x:c r="D66" s="35" t="s">
        <x:v>166</x:v>
      </x:c>
      <x:c r="E66" s="35" t="s">
        <x:v>178</x:v>
      </x:c>
      <x:c r="F66" s="35" t="s">
        <x:v>10</x:v>
      </x:c>
    </x:row>
    <x:row r="67" ht="32" hidden="0" customHeight="1">
      <x:c r="A67" s="57" t="s">
        <x:v>181</x:v>
      </x:c>
      <x:c r="B67" s="35" t="s">
        <x:v>182</x:v>
      </x:c>
      <x:c r="C67" s="59" t="n">
        <x:v>1.2</x:v>
      </x:c>
      <x:c r="D67" s="35" t="s">
        <x:v>183</x:v>
      </x:c>
      <x:c r="E67" s="35" t="s">
        <x:v>172</x:v>
      </x:c>
      <x:c r="F67" s="35" t="s">
        <x:v>10</x:v>
      </x:c>
    </x:row>
    <x:row r="68" ht="32" hidden="0" customHeight="1">
      <x:c r="A68" s="57" t="s">
        <x:v>184</x:v>
      </x:c>
      <x:c r="B68" s="35" t="s">
        <x:v>185</x:v>
      </x:c>
      <x:c r="C68" s="59" t="n">
        <x:v>183238244.4</x:v>
      </x:c>
      <x:c r="D68" s="35" t="s">
        <x:v>106</x:v>
      </x:c>
      <x:c r="E68" s="35" t="s">
        <x:v>172</x:v>
      </x:c>
      <x:c r="F68" s="35" t="s">
        <x:v>10</x:v>
      </x:c>
    </x:row>
    <x:row r="69" ht="32" hidden="0" customHeight="1">
      <x:c r="A69" s="57" t="s">
        <x:v>186</x:v>
      </x:c>
      <x:c r="B69" s="35" t="s">
        <x:v>187</x:v>
      </x:c>
      <x:c r="C69" s="59" t="n">
        <x:v>1414049964.4</x:v>
      </x:c>
      <x:c r="D69" s="35" t="s">
        <x:v>106</x:v>
      </x:c>
      <x:c r="E69" s="35" t="s">
        <x:v>188</x:v>
      </x:c>
      <x:c r="F69" s="35" t="s">
        <x:v>10</x:v>
      </x:c>
    </x:row>
    <x:row r="70" ht="32" hidden="0" customHeight="1">
      <x:c r="A70" s="57" t="s">
        <x:v>189</x:v>
      </x:c>
      <x:c r="B70" s="35" t="s">
        <x:v>190</x:v>
      </x:c>
      <x:c r="C70" s="59" t="n">
        <x:v>0.3</x:v>
      </x:c>
      <x:c r="D70" s="35" t="s">
        <x:v>191</x:v>
      </x:c>
      <x:c r="E70" s="35" t="s">
        <x:v>192</x:v>
      </x:c>
      <x:c r="F70" s="35" t="s">
        <x:v>10</x:v>
      </x:c>
    </x:row>
    <x:row r="71" ht="32" hidden="0" customHeight="1">
      <x:c r="A71" s="57" t="s">
        <x:v>193</x:v>
      </x:c>
      <x:c r="B71" s="35" t="s">
        <x:v>194</x:v>
      </x:c>
      <x:c r="C71" s="59" t="n">
        <x:v>12</x:v>
      </x:c>
      <x:c r="D71" s="35" t="s">
        <x:v>195</x:v>
      </x:c>
      <x:c r="E71" s="35" t="s">
        <x:v>196</x:v>
      </x:c>
      <x:c r="F71" s="35" t="s">
        <x:v>10</x:v>
      </x:c>
    </x:row>
    <x:row r="72" ht="32" hidden="0" customHeight="1">
      <x:c r="A72" s="57" t="s">
        <x:v>197</x:v>
      </x:c>
      <x:c r="B72" s="35" t="s">
        <x:v>198</x:v>
      </x:c>
      <x:c r="C72" s="59" t="n">
        <x:v>2213682706</x:v>
      </x:c>
      <x:c r="D72" s="35" t="s">
        <x:v>166</x:v>
      </x:c>
      <x:c r="E72" s="35" t="s">
        <x:v>48</x:v>
      </x:c>
      <x:c r="F72" s="35" t="s">
        <x:v>10</x:v>
      </x:c>
    </x:row>
    <x:row r="73" ht="32" hidden="0" customHeight="1">
      <x:c r="A73" s="57" t="s">
        <x:v>199</x:v>
      </x:c>
      <x:c r="B73" s="35" t="s">
        <x:v>200</x:v>
      </x:c>
      <x:c r="C73" s="59" t="n">
        <x:v>1315910257</x:v>
      </x:c>
      <x:c r="D73" s="35" t="s">
        <x:v>166</x:v>
      </x:c>
      <x:c r="E73" s="35" t="s">
        <x:v>188</x:v>
      </x:c>
      <x:c r="F73" s="35" t="s">
        <x:v>10</x:v>
      </x:c>
    </x:row>
    <x:row r="74" ht="32" hidden="0" customHeight="1">
      <x:c r="A74" s="57" t="s">
        <x:v>201</x:v>
      </x:c>
      <x:c r="B74" s="35" t="s">
        <x:v>202</x:v>
      </x:c>
      <x:c r="C74" s="59" t="n">
        <x:v>897772449</x:v>
      </x:c>
      <x:c r="D74" s="35" t="s">
        <x:v>166</x:v>
      </x:c>
      <x:c r="E74" s="35" t="s">
        <x:v>188</x:v>
      </x:c>
      <x:c r="F74" s="35" t="s">
        <x:v>10</x:v>
      </x:c>
    </x:row>
    <x:row r="75" ht="32" hidden="0" customHeight="1">
      <x:c r="A75" s="57" t="s">
        <x:v>203</x:v>
      </x:c>
      <x:c r="B75" s="35" t="s">
        <x:v>204</x:v>
      </x:c>
      <x:c r="C75" s="59" t="n">
        <x:v>142481731</x:v>
      </x:c>
      <x:c r="D75" s="35" t="s">
        <x:v>166</x:v>
      </x:c>
      <x:c r="E75" s="35" t="s">
        <x:v>60</x:v>
      </x:c>
      <x:c r="F75" s="35" t="s">
        <x:v>10</x:v>
      </x:c>
    </x:row>
    <x:row r="76" ht="32" hidden="0" customHeight="1">
      <x:c r="A76" s="57" t="s">
        <x:v>205</x:v>
      </x:c>
      <x:c r="B76" s="35" t="s">
        <x:v>206</x:v>
      </x:c>
      <x:c r="C76" s="59" t="n">
        <x:v>74968242</x:v>
      </x:c>
      <x:c r="D76" s="35" t="s">
        <x:v>166</x:v>
      </x:c>
      <x:c r="E76" s="35" t="s">
        <x:v>60</x:v>
      </x:c>
      <x:c r="F76" s="35" t="s">
        <x:v>10</x:v>
      </x:c>
    </x:row>
    <x:row r="77" ht="32" hidden="0" customHeight="1">
      <x:c r="A77" s="57" t="s">
        <x:v>207</x:v>
      </x:c>
      <x:c r="B77" s="35" t="s">
        <x:v>208</x:v>
      </x:c>
      <x:c r="C77" s="59" t="n">
        <x:v>154164330</x:v>
      </x:c>
      <x:c r="D77" s="35" t="s">
        <x:v>166</x:v>
      </x:c>
      <x:c r="E77" s="35" t="s">
        <x:v>60</x:v>
      </x:c>
      <x:c r="F77" s="35" t="s">
        <x:v>10</x:v>
      </x:c>
    </x:row>
    <x:row r="78" ht="32" hidden="0" customHeight="1">
      <x:c r="A78" s="57" t="s">
        <x:v>209</x:v>
      </x:c>
      <x:c r="B78" s="57" t="s">
        <x:v>210</x:v>
      </x:c>
      <x:c r="C78" s="59" t="n">
        <x:v>755290718</x:v>
      </x:c>
      <x:c r="D78" s="35" t="s">
        <x:v>166</x:v>
      </x:c>
      <x:c r="E78" s="35" t="s">
        <x:v>63</x:v>
      </x:c>
      <x:c r="F78" s="35" t="s">
        <x:v>10</x:v>
      </x:c>
    </x:row>
    <x:row r="79" ht="32" hidden="0" customHeight="1">
      <x:c r="A79" s="57" t="s">
        <x:v>211</x:v>
      </x:c>
      <x:c r="B79" s="57" t="s">
        <x:v>212</x:v>
      </x:c>
      <x:c r="C79" s="59" t="n">
        <x:v>526158146</x:v>
      </x:c>
      <x:c r="D79" s="35" t="s">
        <x:v>166</x:v>
      </x:c>
      <x:c r="E79" s="35" t="s">
        <x:v>60</x:v>
      </x:c>
      <x:c r="F79" s="35" t="s">
        <x:v>10</x:v>
      </x:c>
    </x:row>
    <x:row r="80" ht="32" hidden="0" customHeight="1">
      <x:c r="A80" s="57" t="s">
        <x:v>213</x:v>
      </x:c>
      <x:c r="B80" s="57" t="s">
        <x:v>214</x:v>
      </x:c>
      <x:c r="C80" s="59" t="n">
        <x:v>427578550</x:v>
      </x:c>
      <x:c r="D80" s="35" t="s">
        <x:v>166</x:v>
      </x:c>
      <x:c r="E80" s="35" t="s">
        <x:v>80</x:v>
      </x:c>
      <x:c r="F80" s="35" t="s">
        <x:v>10</x:v>
      </x:c>
    </x:row>
    <x:row r="81" ht="32" hidden="0" customHeight="1">
      <x:c r="A81" s="57" t="s">
        <x:v>215</x:v>
      </x:c>
      <x:c r="B81" s="57" t="s">
        <x:v>216</x:v>
      </x:c>
      <x:c r="C81" s="59" t="n">
        <x:v>418125703</x:v>
      </x:c>
      <x:c r="D81" s="35" t="s">
        <x:v>166</x:v>
      </x:c>
      <x:c r="E81" s="35" t="s">
        <x:v>83</x:v>
      </x:c>
      <x:c r="F81" s="35" t="s">
        <x:v>10</x:v>
      </x:c>
    </x:row>
    <x:row r="82" ht="32" hidden="0" customHeight="1">
      <x:c r="A82" s="57" t="s">
        <x:v>217</x:v>
      </x:c>
      <x:c r="B82" s="57" t="s">
        <x:v>218</x:v>
      </x:c>
      <x:c r="C82" s="59" t="n">
        <x:v>399081423</x:v>
      </x:c>
      <x:c r="D82" s="35" t="s">
        <x:v>166</x:v>
      </x:c>
      <x:c r="E82" s="35" t="s">
        <x:v>86</x:v>
      </x:c>
      <x:c r="F82" s="35" t="s">
        <x:v>10</x:v>
      </x:c>
    </x:row>
    <x:row r="83" ht="32" hidden="0" customHeight="1">
      <x:c r="A83" s="57" t="s">
        <x:v>219</x:v>
      </x:c>
      <x:c r="B83" s="35" t="s">
        <x:v>220</x:v>
      </x:c>
      <x:c r="C83" s="59" t="n">
        <x:v>192441853</x:v>
      </x:c>
      <x:c r="D83" s="35" t="s">
        <x:v>166</x:v>
      </x:c>
      <x:c r="E83" s="35" t="s">
        <x:v>60</x:v>
      </x:c>
      <x:c r="F83" s="35" t="s">
        <x:v>10</x:v>
      </x:c>
    </x:row>
    <x:row r="84" ht="32" hidden="0" customHeight="1">
      <x:c r="A84" s="57" t="s">
        <x:v>221</x:v>
      </x:c>
      <x:c r="B84" s="35" t="s">
        <x:v>222</x:v>
      </x:c>
      <x:c r="C84" s="59" t="n">
        <x:v>60293821</x:v>
      </x:c>
      <x:c r="D84" s="35" t="s">
        <x:v>166</x:v>
      </x:c>
      <x:c r="E84" s="35" t="s">
        <x:v>60</x:v>
      </x:c>
      <x:c r="F84" s="35" t="s">
        <x:v>10</x:v>
      </x:c>
    </x:row>
    <x:row r="85" ht="32" hidden="0" customHeight="1">
      <x:c r="A85" s="57" t="s">
        <x:v>223</x:v>
      </x:c>
      <x:c r="B85" s="35" t="s">
        <x:v>224</x:v>
      </x:c>
      <x:c r="C85" s="59" t="n">
        <x:v>94436251</x:v>
      </x:c>
      <x:c r="D85" s="35" t="s">
        <x:v>166</x:v>
      </x:c>
      <x:c r="E85" s="35" t="s">
        <x:v>60</x:v>
      </x:c>
      <x:c r="F85" s="35" t="s">
        <x:v>10</x:v>
      </x:c>
    </x:row>
    <x:row r="86" ht="32" hidden="0" customHeight="1">
      <x:c r="A86" s="57" t="s">
        <x:v>225</x:v>
      </x:c>
      <x:c r="B86" s="35" t="s">
        <x:v>226</x:v>
      </x:c>
      <x:c r="C86" s="59" t="n">
        <x:v>43078456</x:v>
      </x:c>
      <x:c r="D86" s="35" t="s">
        <x:v>166</x:v>
      </x:c>
      <x:c r="E86" s="35" t="s">
        <x:v>60</x:v>
      </x:c>
      <x:c r="F86" s="35" t="s">
        <x:v>10</x:v>
      </x:c>
    </x:row>
    <x:row r="87" ht="32" hidden="0" customHeight="1">
      <x:c r="A87" s="57" t="s">
        <x:v>227</x:v>
      </x:c>
      <x:c r="B87" s="35" t="s">
        <x:v>228</x:v>
      </x:c>
      <x:c r="C87" s="59" t="n">
        <x:v>135907765</x:v>
      </x:c>
      <x:c r="D87" s="35" t="s">
        <x:v>166</x:v>
      </x:c>
      <x:c r="E87" s="35" t="s">
        <x:v>60</x:v>
      </x:c>
      <x:c r="F87" s="35" t="s">
        <x:v>10</x:v>
      </x:c>
    </x:row>
    <x:row r="88" ht="32" hidden="0" customHeight="1">
      <x:c r="A88" s="57" t="s">
        <x:v>229</x:v>
      </x:c>
      <x:c r="B88" s="35" t="s">
        <x:v>230</x:v>
      </x:c>
      <x:c r="C88" s="59" t="n">
        <x:v>2056198165.69</x:v>
      </x:c>
      <x:c r="D88" s="35" t="s">
        <x:v>106</x:v>
      </x:c>
      <x:c r="E88" s="35" t="s">
        <x:v>231</x:v>
      </x:c>
      <x:c r="F88" s="35" t="s">
        <x:v>10</x:v>
      </x:c>
    </x:row>
    <x:row r="89" ht="32" hidden="0" customHeight="1">
      <x:c r="A89" s="57" t="s">
        <x:v>232</x:v>
      </x:c>
      <x:c r="B89" s="35" t="s">
        <x:v>233</x:v>
      </x:c>
      <x:c r="C89" s="59" t="n">
        <x:v>205619.82</x:v>
      </x:c>
      <x:c r="D89" s="35" t="s">
        <x:v>234</x:v>
      </x:c>
      <x:c r="E89" s="35" t="s">
        <x:v>235</x:v>
      </x:c>
      <x:c r="F89" s="35" t="s">
        <x:v>10</x:v>
      </x:c>
    </x:row>
    <x:row r="90" ht="32" hidden="0" customHeight="1">
      <x:c r="A90" s="57" t="s">
        <x:v>236</x:v>
      </x:c>
      <x:c r="B90" s="35" t="s">
        <x:v>237</x:v>
      </x:c>
      <x:c r="C90" s="59" t="n">
        <x:v>2.2903</x:v>
      </x:c>
      <x:c r="D90" s="35" t="s">
        <x:v>183</x:v>
      </x:c>
      <x:c r="E90" s="35" t="s">
        <x:v>235</x:v>
      </x:c>
      <x:c r="F90" s="35" t="s">
        <x:v>10</x:v>
      </x:c>
    </x:row>
    <x:row r="91" ht="32" hidden="0" customHeight="1">
      <x:c r="A91" s="57" t="s">
        <x:v>238</x:v>
      </x:c>
      <x:c r="B91" s="35" t="s">
        <x:v>239</x:v>
      </x:c>
      <x:c r="C91" s="59" t="n">
        <x:v>737041.25</x:v>
      </x:c>
      <x:c r="D91" s="35" t="s">
        <x:v>234</x:v>
      </x:c>
      <x:c r="E91" s="35" t="s">
        <x:v>235</x:v>
      </x:c>
      <x:c r="F91" s="35" t="s">
        <x:v>10</x:v>
      </x:c>
    </x:row>
    <x:row r="92" ht="32" hidden="0" customHeight="1">
      <x:c r="A92" s="57" t="s">
        <x:v>240</x:v>
      </x:c>
      <x:c r="B92" s="35" t="s">
        <x:v>241</x:v>
      </x:c>
      <x:c r="C92" s="59" t="n">
        <x:v>259870.29</x:v>
      </x:c>
      <x:c r="D92" s="35" t="s">
        <x:v>234</x:v>
      </x:c>
      <x:c r="E92" s="35" t="s">
        <x:v>235</x:v>
      </x:c>
      <x:c r="F92" s="35" t="s">
        <x:v>10</x:v>
      </x:c>
    </x:row>
    <x:row r="93" ht="32" hidden="0" customHeight="1">
      <x:c r="A93" s="57" t="s">
        <x:v>242</x:v>
      </x:c>
      <x:c r="B93" s="35" t="s">
        <x:v>243</x:v>
      </x:c>
      <x:c r="C93" s="59" t="n">
        <x:v>8358.45</x:v>
      </x:c>
      <x:c r="D93" s="35" t="s">
        <x:v>234</x:v>
      </x:c>
      <x:c r="E93" s="35" t="s">
        <x:v>235</x:v>
      </x:c>
      <x:c r="F93" s="35" t="s">
        <x:v>10</x:v>
      </x:c>
    </x:row>
    <x:row r="94" ht="32" hidden="0" customHeight="1">
      <x:c r="A94" s="57" t="s">
        <x:v>244</x:v>
      </x:c>
      <x:c r="B94" s="35" t="s">
        <x:v>245</x:v>
      </x:c>
      <x:c r="C94" s="59" t="n">
        <x:v>8056.92</x:v>
      </x:c>
      <x:c r="D94" s="35" t="s">
        <x:v>234</x:v>
      </x:c>
      <x:c r="E94" s="35" t="s">
        <x:v>235</x:v>
      </x:c>
      <x:c r="F94" s="35" t="s">
        <x:v>10</x:v>
      </x:c>
    </x:row>
    <x:row r="95" ht="32" hidden="0" customHeight="1">
      <x:c r="A95" s="57" t="s">
        <x:v>246</x:v>
      </x:c>
      <x:c r="B95" s="35" t="s">
        <x:v>247</x:v>
      </x:c>
      <x:c r="C95" s="59" t="n">
        <x:v>460755.6</x:v>
      </x:c>
      <x:c r="D95" s="35" t="s">
        <x:v>234</x:v>
      </x:c>
      <x:c r="E95" s="35" t="s">
        <x:v>235</x:v>
      </x:c>
      <x:c r="F95" s="35" t="s">
        <x:v>10</x:v>
      </x:c>
    </x:row>
    <x:row r="96" ht="32" hidden="0" customHeight="1">
      <x:c r="A96" s="57" t="s">
        <x:v>248</x:v>
      </x:c>
      <x:c r="B96" s="35" t="s">
        <x:v>249</x:v>
      </x:c>
      <x:c r="C96" s="59" t="n">
        <x:v>80000</x:v>
      </x:c>
      <x:c r="D96" s="35" t="s">
        <x:v>106</x:v>
      </x:c>
      <x:c r="E96" s="35" t="s">
        <x:v>250</x:v>
      </x:c>
      <x:c r="F96" s="35" t="s">
        <x:v>10</x:v>
      </x:c>
    </x:row>
    <x:row r="97" ht="32" hidden="0" customHeight="1">
      <x:c r="A97" s="57" t="s">
        <x:v>251</x:v>
      </x:c>
      <x:c r="B97" s="35" t="s">
        <x:v>252</x:v>
      </x:c>
      <x:c r="C97" s="59" t="n">
        <x:v>100</x:v>
      </x:c>
      <x:c r="D97" s="35" t="s">
        <x:v>106</x:v>
      </x:c>
      <x:c r="E97" s="35" t="s">
        <x:v>253</x:v>
      </x:c>
      <x:c r="F97" s="35" t="s">
        <x:v>10</x:v>
      </x:c>
    </x:row>
    <x:row r="98" ht="32" hidden="0" customHeight="1">
      <x:c r="A98" s="57" t="s">
        <x:v>254</x:v>
      </x:c>
      <x:c r="B98" s="35" t="s">
        <x:v>255</x:v>
      </x:c>
      <x:c r="C98" s="59" t="n">
        <x:v>6.535</x:v>
      </x:c>
      <x:c r="D98" s="35" t="s">
        <x:v>166</x:v>
      </x:c>
      <x:c r="E98" s="35" t="s">
        <x:v>250</x:v>
      </x:c>
      <x:c r="F98" s="35" t="s">
        <x:v>10</x:v>
      </x:c>
    </x:row>
    <x:row r="99" ht="32" hidden="0" customHeight="1">
      <x:c r="A99" s="57" t="s">
        <x:v>256</x:v>
      </x:c>
      <x:c r="B99" s="35" t="s">
        <x:v>257</x:v>
      </x:c>
      <x:c r="C99" s="59" t="n">
        <x:v>31.38</x:v>
      </x:c>
      <x:c r="D99" s="35" t="s">
        <x:v>258</x:v>
      </x:c>
      <x:c r="E99" s="35" t="s">
        <x:v>259</x:v>
      </x:c>
      <x:c r="F99" s="35" t="s">
        <x:v>10</x:v>
      </x:c>
    </x:row>
    <x:row r="100" ht="32" hidden="0" customHeight="1">
      <x:c r="A100" s="57" t="s">
        <x:v>260</x:v>
      </x:c>
      <x:c r="B100" s="35" t="s">
        <x:v>261</x:v>
      </x:c>
      <x:c r="C100" s="59" t="n">
        <x:v>10.5</x:v>
      </x:c>
      <x:c r="D100" s="35" t="s">
        <x:v>183</x:v>
      </x:c>
      <x:c r="E100" s="35" t="s">
        <x:v>250</x:v>
      </x:c>
      <x:c r="F100" s="35" t="s">
        <x:v>10</x:v>
      </x:c>
    </x:row>
    <x:row r="101" ht="32" hidden="0" customHeight="1">
      <x:c r="A101" s="57" t="s">
        <x:v>262</x:v>
      </x:c>
      <x:c r="B101" s="35" t="s">
        <x:v>263</x:v>
      </x:c>
      <x:c r="C101" s="59" t="n">
        <x:v>4311439057</x:v>
      </x:c>
      <x:c r="D101" s="35" t="s">
        <x:v>258</x:v>
      </x:c>
      <x:c r="E101" s="35" t="s">
        <x:v>259</x:v>
      </x:c>
      <x:c r="F101" s="35" t="s">
        <x:v>10</x:v>
      </x:c>
    </x:row>
    <x:row r="102" ht="32" hidden="0" customHeight="1">
      <x:c r="A102" s="57" t="s">
        <x:v>264</x:v>
      </x:c>
      <x:c r="B102" s="35" t="s">
        <x:v>265</x:v>
      </x:c>
      <x:c r="C102" s="59" t="n">
        <x:v>1</x:v>
      </x:c>
      <x:c r="D102" s="35" t="s">
        <x:v>266</x:v>
      </x:c>
      <x:c r="E102" s="35" t="s">
        <x:v>259</x:v>
      </x:c>
      <x:c r="F102" s="35" t="s">
        <x:v>10</x:v>
      </x:c>
    </x:row>
    <x:row r="103" ht="32" hidden="0" customHeight="1">
      <x:c r="A103" s="57" t="s">
        <x:v>267</x:v>
      </x:c>
      <x:c r="B103" s="35" t="s">
        <x:v>268</x:v>
      </x:c>
      <x:c r="C103" s="59" t="n">
        <x:v>13.92</x:v>
      </x:c>
      <x:c r="D103" s="35" t="s">
        <x:v>269</x:v>
      </x:c>
      <x:c r="E103" s="35" t="s">
        <x:v>270</x:v>
      </x:c>
      <x:c r="F103" s="35" t="s">
        <x:v>10</x:v>
      </x:c>
    </x:row>
    <x:row r="104" ht="32" hidden="0" customHeight="1">
      <x:c r="A104" s="57" t="s">
        <x:v>271</x:v>
      </x:c>
      <x:c r="B104" s="35" t="s">
        <x:v>272</x:v>
      </x:c>
      <x:c r="C104" s="59" t="n">
        <x:v>5600.63</x:v>
      </x:c>
      <x:c r="D104" s="35" t="s">
        <x:v>234</x:v>
      </x:c>
      <x:c r="E104" s="35" t="s">
        <x:v>273</x:v>
      </x:c>
      <x:c r="F104" s="35" t="s">
        <x:v>10</x:v>
      </x:c>
    </x:row>
    <x:row r="105" ht="32" hidden="0" customHeight="1">
      <x:c r="A105" s="57" t="s">
        <x:v>274</x:v>
      </x:c>
      <x:c r="B105" s="35" t="s">
        <x:v>275</x:v>
      </x:c>
      <x:c r="C105" s="59" t="n">
        <x:v>8143.39</x:v>
      </x:c>
      <x:c r="D105" s="35" t="s">
        <x:v>234</x:v>
      </x:c>
      <x:c r="E105" s="35" t="s">
        <x:v>276</x:v>
      </x:c>
      <x:c r="F105" s="35" t="s">
        <x:v>10</x:v>
      </x:c>
    </x:row>
    <x:row r="106" ht="40" hidden="0" customHeight="1">
      <x:c r="A106" s="57" t="s">
        <x:v>277</x:v>
      </x:c>
      <x:c r="B106" s="35" t="s">
        <x:v>278</x:v>
      </x:c>
      <x:c r="C106" s="59" t="n">
        <x:v>3</x:v>
      </x:c>
      <x:c r="D106" s="35" t="s">
        <x:v>279</x:v>
      </x:c>
      <x:c r="E106" s="35" t="str">
        <x:v>广田集团_重整计划_2023-11-29.pdf，PDF第41—42页；须分别审查自身原因、仍未主张等前提</x:v>
      </x:c>
      <x:c r="F106" s="35" t="s">
        <x:v>10</x:v>
      </x:c>
    </x:row>
    <x:row r="107" ht="32" hidden="0" customHeight="1">
      <x:c r="A107" s="57" t="s">
        <x:v>280</x:v>
      </x:c>
      <x:c r="B107" s="35" t="s">
        <x:v>281</x:v>
      </x:c>
      <x:c r="C107" s="59" t="n">
        <x:v>10000</x:v>
      </x:c>
      <x:c r="D107" s="35" t="s">
        <x:v>282</x:v>
      </x:c>
      <x:c r="E107" s="35" t="s">
        <x:v>283</x:v>
      </x:c>
      <x:c r="F107" s="35" t="s">
        <x:v>284</x:v>
      </x:c>
    </x:row>
    <x:row r="108" ht="32" hidden="0" customHeight="1">
      <x:c r="A108" s="57" t="s">
        <x:v>285</x:v>
      </x:c>
      <x:c r="B108" s="35" t="s">
        <x:v>286</x:v>
      </x:c>
      <x:c r="C108" s="59" t="n">
        <x:v>100</x:v>
      </x:c>
      <x:c r="D108" s="35" t="s">
        <x:v>287</x:v>
      </x:c>
      <x:c r="E108" s="35" t="s">
        <x:v>288</x:v>
      </x:c>
      <x:c r="F108" s="35" t="s">
        <x:v>284</x:v>
      </x:c>
    </x:row>
    <x:row r="109" ht="32" hidden="0" customHeight="1">
      <x:c r="A109" s="57" t="s">
        <x:v>289</x:v>
      </x:c>
      <x:c r="B109" s="35" t="s">
        <x:v>290</x:v>
      </x:c>
      <x:c r="C109" s="59" t="n">
        <x:v>0.5</x:v>
      </x:c>
      <x:c r="D109" s="35" t="s">
        <x:v>191</x:v>
      </x:c>
      <x:c r="E109" s="35" t="s">
        <x:v>291</x:v>
      </x:c>
      <x:c r="F109" s="35" t="s">
        <x:v>292</x:v>
      </x:c>
    </x:row>
    <x:row r="110" ht="32" hidden="0" customHeight="1">
      <x:c r="A110" s="57" t="s">
        <x:v>293</x:v>
      </x:c>
      <x:c r="B110" s="35" t="s">
        <x:v>294</x:v>
      </x:c>
      <x:c r="C110" s="59" t="n">
        <x:v>2</x:v>
      </x:c>
      <x:c r="D110" s="35" t="s">
        <x:v>295</x:v>
      </x:c>
      <x:c r="E110" s="35" t="s">
        <x:v>291</x:v>
      </x:c>
      <x:c r="F110" s="35" t="s">
        <x:v>10</x:v>
      </x:c>
    </x:row>
    <x:row r="111" ht="32" hidden="0" customHeight="1">
      <x:c r="A111" s="57" t="s">
        <x:v>296</x:v>
      </x:c>
      <x:c r="B111" s="35" t="s">
        <x:v>297</x:v>
      </x:c>
      <x:c r="C111" s="59" t="n">
        <x:v>3</x:v>
      </x:c>
      <x:c r="D111" s="35" t="s">
        <x:v>295</x:v>
      </x:c>
      <x:c r="E111" s="35" t="s">
        <x:v>291</x:v>
      </x:c>
      <x:c r="F111" s="35" t="s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0" hidden="0" customWidth="1"/>
    <x:col min="6" max="6" width="45" hidden="0" customWidth="1"/>
  </x:cols>
  <x:sheetData>
    <x:row r="1" ht="32" hidden="0" customHeight="1">
      <x:c r="A1" s="39" t="s">
        <x:v>0</x:v>
      </x:c>
      <x:c r="B1" s="39" t="s">
        <x:v>1</x:v>
      </x:c>
      <x:c r="C1" s="39" t="s">
        <x:v>298</x:v>
      </x:c>
      <x:c r="D1" s="39" t="s">
        <x:v>3</x:v>
      </x:c>
      <x:c r="E1" s="39" t="s">
        <x:v>299</x:v>
      </x:c>
    </x:row>
    <x:row r="2" ht="32" hidden="0" customHeight="1">
      <x:c r="A2" s="57" t="s">
        <x:v>300</x:v>
      </x:c>
      <x:c r="B2" s="35" t="s">
        <x:v>301</x:v>
      </x:c>
      <x:c r="C2" s="75" t="n">
        <x:f>取数!C45-取数!C38</x:f>
        <x:v>33919169.57000017</x:v>
      </x:c>
      <x:c r="D2" s="35" t="s">
        <x:v>106</x:v>
      </x:c>
      <x:c r="E2" s="35" t="s">
        <x:v>302</x:v>
      </x:c>
    </x:row>
    <x:row r="3" ht="32" hidden="0" customHeight="1">
      <x:c r="A3" s="57" t="s">
        <x:v>303</x:v>
      </x:c>
      <x:c r="B3" s="35" t="s">
        <x:v>304</x:v>
      </x:c>
      <x:c r="C3" s="75" t="n">
        <x:f>取数!C49-取数!C39</x:f>
        <x:v>5498495.730000019</x:v>
      </x:c>
      <x:c r="D3" s="35" t="s">
        <x:v>106</x:v>
      </x:c>
      <x:c r="E3" s="35" t="s">
        <x:v>302</x:v>
      </x:c>
    </x:row>
    <x:row r="4" ht="32" hidden="0" customHeight="1">
      <x:c r="A4" s="57" t="s">
        <x:v>305</x:v>
      </x:c>
      <x:c r="B4" s="35" t="s">
        <x:v>306</x:v>
      </x:c>
      <x:c r="C4" s="75" t="n">
        <x:f>取数!C50-取数!C40</x:f>
        <x:v>106044700.7699995</x:v>
      </x:c>
      <x:c r="D4" s="35" t="s">
        <x:v>106</x:v>
      </x:c>
      <x:c r="E4" s="35" t="s">
        <x:v>302</x:v>
      </x:c>
    </x:row>
    <x:row r="5" ht="32" hidden="0" customHeight="1">
      <x:c r="A5" s="57" t="s">
        <x:v>307</x:v>
      </x:c>
      <x:c r="B5" s="35" t="s">
        <x:v>308</x:v>
      </x:c>
      <x:c r="C5" s="76" t="n">
        <x:f>取数!C51-取数!C41</x:f>
        <x:v>214</x:v>
      </x:c>
      <x:c r="D5" s="35" t="s">
        <x:v>121</x:v>
      </x:c>
      <x:c r="E5" s="35" t="s">
        <x:v>302</x:v>
      </x:c>
    </x:row>
    <x:row r="6" ht="32" hidden="0" customHeight="1">
      <x:c r="A6" s="57" t="s">
        <x:v>309</x:v>
      </x:c>
      <x:c r="B6" s="35" t="s">
        <x:v>310</x:v>
      </x:c>
      <x:c r="C6" s="75" t="n">
        <x:f>取数!C54-取数!C36</x:f>
        <x:v>145130360</x:v>
      </x:c>
      <x:c r="D6" s="35" t="s">
        <x:v>106</x:v>
      </x:c>
      <x:c r="E6" s="35" t="s">
        <x:v>302</x:v>
      </x:c>
    </x:row>
    <x:row r="7" ht="32" hidden="0" customHeight="1">
      <x:c r="A7" s="57" t="s">
        <x:v>311</x:v>
      </x:c>
      <x:c r="B7" s="35" t="s">
        <x:v>312</x:v>
      </x:c>
      <x:c r="C7" s="75" t="n">
        <x:f>取数!C55-取数!C42</x:f>
        <x:v>-267855211.2600001</x:v>
      </x:c>
      <x:c r="D7" s="35" t="s">
        <x:v>106</x:v>
      </x:c>
      <x:c r="E7" s="35" t="s">
        <x:v>302</x:v>
      </x:c>
    </x:row>
    <x:row r="8" ht="32" hidden="0" customHeight="1">
      <x:c r="A8" s="57" t="s">
        <x:v>313</x:v>
      </x:c>
      <x:c r="B8" s="35" t="s">
        <x:v>314</x:v>
      </x:c>
      <x:c r="C8" s="75" t="n">
        <x:f>取数!C36-取数!C37</x:f>
        <x:v>0</x:v>
      </x:c>
      <x:c r="D8" s="35" t="s">
        <x:v>106</x:v>
      </x:c>
      <x:c r="E8" s="35" t="s">
        <x:v>315</x:v>
      </x:c>
    </x:row>
    <x:row r="9" ht="32" hidden="0" customHeight="1">
      <x:c r="A9" s="57" t="s">
        <x:v>316</x:v>
      </x:c>
      <x:c r="B9" s="35" t="s">
        <x:v>317</x:v>
      </x:c>
      <x:c r="C9" s="76" t="n">
        <x:f>取数!C61+取数!C62</x:f>
        <x:v>152698537</x:v>
      </x:c>
      <x:c r="D9" s="35" t="s">
        <x:v>166</x:v>
      </x:c>
      <x:c r="E9" s="35" t="s">
        <x:v>302</x:v>
      </x:c>
    </x:row>
    <x:row r="10" ht="32" hidden="0" customHeight="1">
      <x:c r="A10" s="57" t="s">
        <x:v>318</x:v>
      </x:c>
      <x:c r="B10" s="35" t="s">
        <x:v>319</x:v>
      </x:c>
      <x:c r="C10" s="76" t="n">
        <x:f>核对测算!C9-取数!C63</x:f>
        <x:v>0</x:v>
      </x:c>
      <x:c r="D10" s="35" t="s">
        <x:v>166</x:v>
      </x:c>
      <x:c r="E10" s="35" t="s">
        <x:v>302</x:v>
      </x:c>
    </x:row>
    <x:row r="11" ht="55" hidden="0" customHeight="1">
      <x:c r="A11" s="57" t="s">
        <x:v>320</x:v>
      </x:c>
      <x:c r="B11" s="35" t="s">
        <x:v>321</x:v>
      </x:c>
      <x:c r="C11" s="75" t="n">
        <x:f>取数!C64+(取数!C65+取数!C66)*取数!C67+取数!C68</x:f>
        <x:v>1414049964.4</x:v>
      </x:c>
      <x:c r="D11" s="35" t="s">
        <x:v>106</x:v>
      </x:c>
      <x:c r="E11" s="35" t="s">
        <x:v>302</x:v>
      </x:c>
    </x:row>
    <x:row r="12" ht="32" hidden="0" customHeight="1">
      <x:c r="A12" s="57" t="s">
        <x:v>322</x:v>
      </x:c>
      <x:c r="B12" s="35" t="s">
        <x:v>323</x:v>
      </x:c>
      <x:c r="C12" s="75" t="n">
        <x:f>核对测算!C11-取数!C69</x:f>
        <x:v>0</x:v>
      </x:c>
      <x:c r="D12" s="35" t="s">
        <x:v>106</x:v>
      </x:c>
      <x:c r="E12" s="35" t="s">
        <x:v>302</x:v>
      </x:c>
    </x:row>
    <x:row r="13" ht="32" hidden="0" customHeight="1">
      <x:c r="A13" s="57" t="s">
        <x:v>324</x:v>
      </x:c>
      <x:c r="B13" s="35" t="s">
        <x:v>325</x:v>
      </x:c>
      <x:c r="C13" s="75" t="n">
        <x:f>取数!C45-取数!C46</x:f>
        <x:v>623933454.3200002</x:v>
      </x:c>
      <x:c r="D13" s="35" t="s">
        <x:v>106</x:v>
      </x:c>
      <x:c r="E13" s="35" t="s">
        <x:v>326</x:v>
      </x:c>
    </x:row>
    <x:row r="14" ht="32" hidden="0" customHeight="1">
      <x:c r="A14" s="57" t="s">
        <x:v>327</x:v>
      </x:c>
      <x:c r="B14" s="35" t="s">
        <x:v>328</x:v>
      </x:c>
      <x:c r="C14" s="75" t="n">
        <x:f>取数!C58+取数!C59</x:f>
        <x:v>623933454.3199999</x:v>
      </x:c>
      <x:c r="D14" s="35" t="s">
        <x:v>106</x:v>
      </x:c>
      <x:c r="E14" s="35" t="s">
        <x:v>329</x:v>
      </x:c>
    </x:row>
    <x:row r="15" ht="55" hidden="0" customHeight="1">
      <x:c r="A15" s="57" t="s">
        <x:v>330</x:v>
      </x:c>
      <x:c r="B15" s="35" t="s">
        <x:v>331</x:v>
      </x:c>
      <x:c r="C15" s="75" t="n">
        <x:f>(取数!C48-取数!C57)/(取数!C47-取数!C57)*取数!C108</x:f>
        <x:v>66.66666666666666</x:v>
      </x:c>
      <x:c r="D15" s="35" t="s">
        <x:v>269</x:v>
      </x:c>
      <x:c r="E15" s="35" t="s">
        <x:v>332</x:v>
      </x:c>
    </x:row>
    <x:row r="16" ht="55" hidden="0" customHeight="1">
      <x:c r="A16" s="57" t="s">
        <x:v>333</x:v>
      </x:c>
      <x:c r="B16" s="35" t="s">
        <x:v>334</x:v>
      </x:c>
      <x:c r="C16" s="75" t="n">
        <x:f>(取数!C46-取数!C56)/(取数!C45-取数!C56)*取数!C108</x:f>
        <x:v>78.96347815337643</x:v>
      </x:c>
      <x:c r="D16" s="35" t="s">
        <x:v>269</x:v>
      </x:c>
      <x:c r="E16" s="35" t="s">
        <x:v>332</x:v>
      </x:c>
    </x:row>
    <x:row r="17" ht="40" hidden="0" customHeight="1">
      <x:c r="A17" s="57" t="s">
        <x:v>335</x:v>
      </x:c>
      <x:c r="B17" s="35" t="s">
        <x:v>336</x:v>
      </x:c>
      <x:c r="C17" s="75" t="n">
        <x:f>取数!C48/(取数!C47-取数!C57)*取数!C108</x:f>
        <x:v>83.33333333333334</x:v>
      </x:c>
      <x:c r="D17" s="35" t="s">
        <x:v>269</x:v>
      </x:c>
      <x:c r="E17" s="35" t="s">
        <x:v>302</x:v>
      </x:c>
    </x:row>
    <x:row r="18" ht="40" hidden="0" customHeight="1">
      <x:c r="A18" s="57" t="s">
        <x:v>337</x:v>
      </x:c>
      <x:c r="B18" s="35" t="s">
        <x:v>338</x:v>
      </x:c>
      <x:c r="C18" s="75" t="n">
        <x:f>取数!C46/(取数!C45-取数!C56)*取数!C108</x:f>
        <x:v>79.71541217559317</x:v>
      </x:c>
      <x:c r="D18" s="35" t="s">
        <x:v>269</x:v>
      </x:c>
      <x:c r="E18" s="35" t="s">
        <x:v>302</x:v>
      </x:c>
    </x:row>
    <x:row r="19" ht="85" hidden="0" customHeight="1">
      <x:c r="A19" s="57" t="s">
        <x:v>339</x:v>
      </x:c>
      <x:c r="B19" s="35" t="s">
        <x:v>340</x:v>
      </x:c>
      <x:c r="C19" s="75" t="str">
        <x:f>IF(AND(核对测算!C15/取数!C108&gt;取数!C109,核对测算!C16/取数!C108&gt;=取数!C110/取数!C111),"通过","未通过")</x:f>
        <x:v>通过</x:v>
      </x:c>
      <x:c r="D19" s="35" t="s">
        <x:v>341</x:v>
      </x:c>
      <x:c r="E19" s="35" t="s">
        <x:v>302</x:v>
      </x:c>
    </x:row>
    <x:row r="20" ht="85" hidden="0" customHeight="1">
      <x:c r="A20" s="57" t="s">
        <x:v>342</x:v>
      </x:c>
      <x:c r="B20" s="35" t="s">
        <x:v>343</x:v>
      </x:c>
      <x:c r="C20" s="75" t="str">
        <x:f>IF(AND(核对测算!C17/取数!C108&gt;取数!C109,核对测算!C18/取数!C108&gt;=取数!C110/取数!C111),"通过","未通过")</x:f>
        <x:v>通过</x:v>
      </x:c>
      <x:c r="D20" s="35" t="s">
        <x:v>341</x:v>
      </x:c>
      <x:c r="E20" s="35" t="s">
        <x:v>302</x:v>
      </x:c>
    </x:row>
    <x:row r="21" ht="40" hidden="0" customHeight="1">
      <x:c r="A21" s="57" t="s">
        <x:v>344</x:v>
      </x:c>
      <x:c r="B21" s="35" t="s">
        <x:v>345</x:v>
      </x:c>
      <x:c r="C21" s="76" t="n">
        <x:f>取数!C72-取数!C73-取数!C75</x:f>
        <x:v>755290718</x:v>
      </x:c>
      <x:c r="D21" s="35" t="s">
        <x:v>166</x:v>
      </x:c>
      <x:c r="E21" s="35" t="s">
        <x:v>302</x:v>
      </x:c>
    </x:row>
    <x:row r="22" ht="32" hidden="0" customHeight="1">
      <x:c r="A22" s="57" t="s">
        <x:v>346</x:v>
      </x:c>
      <x:c r="B22" s="35" t="s">
        <x:v>347</x:v>
      </x:c>
      <x:c r="C22" s="76" t="n">
        <x:f>核对测算!C21-取数!C78</x:f>
        <x:v>0</x:v>
      </x:c>
      <x:c r="D22" s="35" t="s">
        <x:v>166</x:v>
      </x:c>
      <x:c r="E22" s="35" t="s">
        <x:v>302</x:v>
      </x:c>
    </x:row>
    <x:row r="23" ht="32" hidden="0" customHeight="1">
      <x:c r="A23" s="57" t="s">
        <x:v>348</x:v>
      </x:c>
      <x:c r="B23" s="57" t="s">
        <x:v>349</x:v>
      </x:c>
      <x:c r="C23" s="76" t="n">
        <x:f>取数!C78-取数!C79</x:f>
        <x:v>229132572</x:v>
      </x:c>
      <x:c r="D23" s="35" t="s">
        <x:v>166</x:v>
      </x:c>
      <x:c r="E23" s="35" t="s">
        <x:v>302</x:v>
      </x:c>
    </x:row>
    <x:row r="24" ht="32" hidden="0" customHeight="1">
      <x:c r="A24" s="57" t="s">
        <x:v>350</x:v>
      </x:c>
      <x:c r="B24" s="57" t="s">
        <x:v>351</x:v>
      </x:c>
      <x:c r="C24" s="76" t="n">
        <x:f>取数!C79-取数!C80</x:f>
        <x:v>98579596</x:v>
      </x:c>
      <x:c r="D24" s="35" t="s">
        <x:v>166</x:v>
      </x:c>
      <x:c r="E24" s="35" t="s">
        <x:v>302</x:v>
      </x:c>
    </x:row>
    <x:row r="25" ht="32" hidden="0" customHeight="1">
      <x:c r="A25" s="57" t="s">
        <x:v>352</x:v>
      </x:c>
      <x:c r="B25" s="57" t="s">
        <x:v>353</x:v>
      </x:c>
      <x:c r="C25" s="76" t="n">
        <x:f>取数!C80-取数!C81</x:f>
        <x:v>9452847</x:v>
      </x:c>
      <x:c r="D25" s="35" t="s">
        <x:v>166</x:v>
      </x:c>
      <x:c r="E25" s="35" t="s">
        <x:v>302</x:v>
      </x:c>
    </x:row>
    <x:row r="26" ht="32" hidden="0" customHeight="1">
      <x:c r="A26" s="57" t="s">
        <x:v>354</x:v>
      </x:c>
      <x:c r="B26" s="57" t="s">
        <x:v>355</x:v>
      </x:c>
      <x:c r="C26" s="76" t="n">
        <x:f>取数!C81-取数!C82</x:f>
        <x:v>19044280</x:v>
      </x:c>
      <x:c r="D26" s="35" t="s">
        <x:v>166</x:v>
      </x:c>
      <x:c r="E26" s="35" t="s">
        <x:v>302</x:v>
      </x:c>
    </x:row>
    <x:row r="27" ht="40" hidden="0" customHeight="1">
      <x:c r="A27" s="57" t="s">
        <x:v>356</x:v>
      </x:c>
      <x:c r="B27" s="57" t="s">
        <x:v>357</x:v>
      </x:c>
      <x:c r="C27" s="76" t="n">
        <x:f>核对测算!C23-取数!C76-取数!C77</x:f>
        <x:v>0</x:v>
      </x:c>
      <x:c r="D27" s="35" t="s">
        <x:v>166</x:v>
      </x:c>
      <x:c r="E27" s="35" t="s">
        <x:v>302</x:v>
      </x:c>
    </x:row>
    <x:row r="28" ht="40" hidden="0" customHeight="1">
      <x:c r="A28" s="57" t="s">
        <x:v>358</x:v>
      </x:c>
      <x:c r="B28" s="35" t="s">
        <x:v>359</x:v>
      </x:c>
      <x:c r="C28" s="76" t="n">
        <x:f>取数!C83+取数!C84+取数!C85+取数!C86+取数!C87</x:f>
        <x:v>526158146</x:v>
      </x:c>
      <x:c r="D28" s="35" t="s">
        <x:v>166</x:v>
      </x:c>
      <x:c r="E28" s="35" t="s">
        <x:v>360</x:v>
      </x:c>
    </x:row>
    <x:row r="29" ht="32" hidden="0" customHeight="1">
      <x:c r="A29" s="57" t="s">
        <x:v>361</x:v>
      </x:c>
      <x:c r="B29" s="35" t="s">
        <x:v>362</x:v>
      </x:c>
      <x:c r="C29" s="76" t="n">
        <x:f>核对测算!C28-取数!C79</x:f>
        <x:v>0</x:v>
      </x:c>
      <x:c r="D29" s="35" t="s">
        <x:v>166</x:v>
      </x:c>
      <x:c r="E29" s="35" t="s">
        <x:v>302</x:v>
      </x:c>
    </x:row>
    <x:row r="30" ht="32" hidden="0" customHeight="1">
      <x:c r="A30" s="57" t="s">
        <x:v>363</x:v>
      </x:c>
      <x:c r="B30" s="57" t="s">
        <x:v>364</x:v>
      </x:c>
      <x:c r="C30" s="76" t="n">
        <x:f>取数!C74-取数!C82</x:f>
        <x:v>498691026</x:v>
      </x:c>
      <x:c r="D30" s="35" t="s">
        <x:v>166</x:v>
      </x:c>
      <x:c r="E30" s="35" t="s">
        <x:v>302</x:v>
      </x:c>
    </x:row>
    <x:row r="31" ht="40" hidden="0" customHeight="1">
      <x:c r="A31" s="57" t="s">
        <x:v>365</x:v>
      </x:c>
      <x:c r="B31" s="57" t="s">
        <x:v>366</x:v>
      </x:c>
      <x:c r="C31" s="75" t="n">
        <x:f>核对测算!C30/取数!C74*取数!C108</x:f>
        <x:v>55.54759745138937</x:v>
      </x:c>
      <x:c r="D31" s="35" t="s">
        <x:v>269</x:v>
      </x:c>
      <x:c r="E31" s="35" t="s">
        <x:v>302</x:v>
      </x:c>
    </x:row>
    <x:row r="32" ht="40" hidden="0" customHeight="1">
      <x:c r="A32" s="57" t="s">
        <x:v>367</x:v>
      </x:c>
      <x:c r="B32" s="57" t="s">
        <x:v>368</x:v>
      </x:c>
      <x:c r="C32" s="75" t="n">
        <x:f>取数!C82/取数!C74*取数!C108</x:f>
        <x:v>44.45240254861062</x:v>
      </x:c>
      <x:c r="D32" s="35" t="s">
        <x:v>269</x:v>
      </x:c>
      <x:c r="E32" s="35" t="s">
        <x:v>302</x:v>
      </x:c>
    </x:row>
    <x:row r="33" ht="32" hidden="0" customHeight="1">
      <x:c r="A33" s="57" t="s">
        <x:v>369</x:v>
      </x:c>
      <x:c r="B33" s="35" t="s">
        <x:v>370</x:v>
      </x:c>
      <x:c r="C33" s="77" t="n">
        <x:f>取数!C88/取数!C74</x:f>
        <x:v>2.290333333329992</x:v>
      </x:c>
      <x:c r="D33" s="35" t="s">
        <x:v>183</x:v>
      </x:c>
      <x:c r="E33" s="35" t="s">
        <x:v>371</x:v>
      </x:c>
    </x:row>
    <x:row r="34" ht="32" hidden="0" customHeight="1">
      <x:c r="A34" s="57" t="s">
        <x:v>372</x:v>
      </x:c>
      <x:c r="B34" s="35" t="s">
        <x:v>373</x:v>
      </x:c>
      <x:c r="C34" s="75" t="n">
        <x:f>取数!C90*取数!C74</x:f>
        <x:v>2056168239.9446998</x:v>
      </x:c>
      <x:c r="D34" s="35" t="s">
        <x:v>106</x:v>
      </x:c>
      <x:c r="E34" s="35" t="s">
        <x:v>302</x:v>
      </x:c>
    </x:row>
    <x:row r="35" ht="32" hidden="0" customHeight="1">
      <x:c r="A35" s="57" t="s">
        <x:v>374</x:v>
      </x:c>
      <x:c r="B35" s="35" t="s">
        <x:v>375</x:v>
      </x:c>
      <x:c r="C35" s="75" t="n">
        <x:f>取数!C88-核对测算!C34</x:f>
        <x:v>29925.74530029297</x:v>
      </x:c>
      <x:c r="D35" s="35" t="s">
        <x:v>106</x:v>
      </x:c>
      <x:c r="E35" s="35" t="s">
        <x:v>302</x:v>
      </x:c>
    </x:row>
    <x:row r="36" ht="32" hidden="0" customHeight="1">
      <x:c r="A36" s="57" t="s">
        <x:v>376</x:v>
      </x:c>
      <x:c r="B36" s="35" t="s">
        <x:v>377</x:v>
      </x:c>
      <x:c r="C36" s="75" t="n">
        <x:f>核对测算!C35/取数!C107</x:f>
        <x:v>2.9925745300292967</x:v>
      </x:c>
      <x:c r="D36" s="35" t="s">
        <x:v>234</x:v>
      </x:c>
      <x:c r="E36" s="35" t="s">
        <x:v>302</x:v>
      </x:c>
    </x:row>
    <x:row r="37" ht="40" hidden="0" customHeight="1">
      <x:c r="A37" s="57" t="s">
        <x:v>378</x:v>
      </x:c>
      <x:c r="B37" s="35" t="s">
        <x:v>379</x:v>
      </x:c>
      <x:c r="C37" s="75" t="n">
        <x:f>ROUND(核对测算!C34/取数!C107,2)</x:f>
        <x:v>205616.82</x:v>
      </x:c>
      <x:c r="D37" s="35" t="s">
        <x:v>234</x:v>
      </x:c>
      <x:c r="E37" s="35" t="s">
        <x:v>302</x:v>
      </x:c>
    </x:row>
    <x:row r="38" ht="32" hidden="0" customHeight="1">
      <x:c r="A38" s="57" t="s">
        <x:v>380</x:v>
      </x:c>
      <x:c r="B38" s="35" t="s">
        <x:v>381</x:v>
      </x:c>
      <x:c r="C38" s="75" t="n">
        <x:f>取数!C89-核对测算!C37</x:f>
        <x:v>3</x:v>
      </x:c>
      <x:c r="D38" s="35" t="s">
        <x:v>234</x:v>
      </x:c>
      <x:c r="E38" s="35" t="s">
        <x:v>382</x:v>
      </x:c>
    </x:row>
    <x:row r="39" ht="40" hidden="0" customHeight="1">
      <x:c r="A39" s="57" t="s">
        <x:v>383</x:v>
      </x:c>
      <x:c r="B39" s="35" t="s">
        <x:v>384</x:v>
      </x:c>
      <x:c r="C39" s="75" t="n">
        <x:f>取数!C91-取数!C92-取数!C93-取数!C94</x:f>
        <x:v>460755.58999999997</x:v>
      </x:c>
      <x:c r="D39" s="35" t="s">
        <x:v>234</x:v>
      </x:c>
      <x:c r="E39" s="35" t="s">
        <x:v>302</x:v>
      </x:c>
    </x:row>
    <x:row r="40" ht="40" hidden="0" customHeight="1">
      <x:c r="A40" s="57" t="s">
        <x:v>385</x:v>
      </x:c>
      <x:c r="B40" s="35" t="s">
        <x:v>386</x:v>
      </x:c>
      <x:c r="C40" s="75" t="n">
        <x:f>(取数!C95-核对测算!C39)*取数!C107</x:f>
        <x:v>100.00000009313226</x:v>
      </x:c>
      <x:c r="D40" s="35" t="s">
        <x:v>106</x:v>
      </x:c>
      <x:c r="E40" s="35" t="s">
        <x:v>387</x:v>
      </x:c>
    </x:row>
    <x:row r="41" ht="55" hidden="0" customHeight="1">
      <x:c r="A41" s="57" t="s">
        <x:v>388</x:v>
      </x:c>
      <x:c r="B41" s="35" t="s">
        <x:v>389</x:v>
      </x:c>
      <x:c r="C41" s="58" t="n">
        <x:f>DATE(YEAR(取数!C7)+取数!C106,MONTH(取数!C7),DAY(取数!C7))</x:f>
        <x:v>46223</x:v>
      </x:c>
      <x:c r="D41" s="35" t="s">
        <x:v>8</x:v>
      </x:c>
      <x:c r="E41" s="35" t="str">
        <x:v>仅计计划文本三年期间；须另核届满前主张记录及现行办理口径</x:v>
      </x:c>
    </x:row>
    <x:row r="42" ht="55" hidden="0" customHeight="1">
      <x:c r="A42" s="57" t="s">
        <x:v>390</x:v>
      </x:c>
      <x:c r="B42" s="35" t="s">
        <x:v>391</x:v>
      </x:c>
      <x:c r="C42" s="58" t="n">
        <x:f>DATE(YEAR(取数!C17)+取数!C106,MONTH(取数!C17),DAY(取数!C17))</x:f>
        <x:v>46376</x:v>
      </x:c>
      <x:c r="D42" s="35" t="s">
        <x:v>8</x:v>
      </x:c>
      <x:c r="E42" s="35" t="str">
        <x:v>以监督报告执行事实截止计算，起点待核；另须因债权人自身原因仍未领取</x:v>
      </x:c>
    </x:row>
    <x:row r="43" ht="55" hidden="0" customHeight="1">
      <x:c r="A43" s="57" t="s">
        <x:v>392</x:v>
      </x:c>
      <x:c r="B43" s="35" t="s">
        <x:v>393</x:v>
      </x:c>
      <x:c r="C43" s="58" t="n">
        <x:f>DATE(YEAR(取数!C18)+取数!C106,MONTH(取数!C18),DAY(取数!C18))</x:f>
        <x:v>46378</x:v>
      </x:c>
      <x:c r="D43" s="35" t="s">
        <x:v>8</x:v>
      </x:c>
      <x:c r="E43" s="35" t="str">
        <x:v>以法院确认日计算；不替代执行完毕事实起点的查明</x:v>
      </x:c>
    </x:row>
    <x:row r="44" ht="40" hidden="0" customHeight="1">
      <x:c r="A44" s="57" t="s">
        <x:v>394</x:v>
      </x:c>
      <x:c r="B44" s="35" t="s">
        <x:v>395</x:v>
      </x:c>
      <x:c r="C44" s="75" t="str">
        <x:f>IF(取数!C2&gt;=核对测算!C41,"已届满","尚未届满")</x:f>
        <x:v>已届满</x:v>
      </x:c>
      <x:c r="D44" s="35" t="s">
        <x:v>396</x:v>
      </x:c>
      <x:c r="E44" s="35" t="str">
        <x:v>仅评价文本期间，不判断有无及时主张，不认定债权全部消灭</x:v>
      </x:c>
    </x:row>
    <x:row r="45" ht="55" hidden="0" customHeight="1">
      <x:c r="A45" s="57" t="s">
        <x:v>397</x:v>
      </x:c>
      <x:c r="B45" s="35" t="s">
        <x:v>398</x:v>
      </x:c>
      <x:c r="C45" s="75" t="str">
        <x:f>IF(取数!C2&lt;核对测算!C42,"尚未届满","需按具体起点判断")</x:f>
        <x:v>尚未届满</x:v>
      </x:c>
      <x:c r="D45" s="35" t="s">
        <x:v>396</x:v>
      </x:c>
      <x:c r="E45" s="35" t="s">
        <x:v>302</x:v>
      </x:c>
    </x:row>
    <x:row r="46" ht="32" hidden="0" customHeight="1">
      <x:c r="A46" s="57" t="s">
        <x:v>399</x:v>
      </x:c>
      <x:c r="B46" s="35" t="s">
        <x:v>400</x:v>
      </x:c>
      <x:c r="C46" s="76" t="n">
        <x:f>核对测算!C41-取数!C32</x:f>
        <x:v>9</x:v>
      </x:c>
      <x:c r="D46" s="35" t="s">
        <x:v>401</x:v>
      </x:c>
      <x:c r="E46" s="35" t="s">
        <x:v>302</x:v>
      </x:c>
    </x:row>
    <x:row r="47" ht="32" hidden="0" customHeight="1">
      <x:c r="A47" s="57" t="s">
        <x:v>402</x:v>
      </x:c>
      <x:c r="B47" s="35" t="s">
        <x:v>403</x:v>
      </x:c>
      <x:c r="C47" s="75" t="n">
        <x:f>取数!C104*取数!C107</x:f>
        <x:v>56006300</x:v>
      </x:c>
      <x:c r="D47" s="35" t="s">
        <x:v>106</x:v>
      </x:c>
      <x:c r="E47" s="35" t="s">
        <x:v>404</x:v>
      </x:c>
    </x:row>
    <x:row r="48" ht="40" hidden="0" customHeight="1">
      <x:c r="A48" s="57" t="s">
        <x:v>405</x:v>
      </x:c>
      <x:c r="B48" s="35" t="s">
        <x:v>406</x:v>
      </x:c>
      <x:c r="C48" s="75" t="n">
        <x:f>MIN(核对测算!C47,取数!C96)</x:f>
        <x:v>80000</x:v>
      </x:c>
      <x:c r="D48" s="35" t="s">
        <x:v>106</x:v>
      </x:c>
      <x:c r="E48" s="35" t="s">
        <x:v>407</x:v>
      </x:c>
    </x:row>
    <x:row r="49" ht="40" hidden="0" customHeight="1">
      <x:c r="A49" s="57" t="s">
        <x:v>408</x:v>
      </x:c>
      <x:c r="B49" s="35" t="s">
        <x:v>409</x:v>
      </x:c>
      <x:c r="C49" s="75" t="n">
        <x:f>核对测算!C47-核对测算!C48</x:f>
        <x:v>55926300</x:v>
      </x:c>
      <x:c r="D49" s="35" t="s">
        <x:v>106</x:v>
      </x:c>
      <x:c r="E49" s="35" t="s">
        <x:v>302</x:v>
      </x:c>
    </x:row>
    <x:row r="50" ht="40" hidden="0" customHeight="1">
      <x:c r="A50" s="57" t="s">
        <x:v>410</x:v>
      </x:c>
      <x:c r="B50" s="35" t="s">
        <x:v>411</x:v>
      </x:c>
      <x:c r="C50" s="76" t="n">
        <x:f>ROUNDDOWN(核对测算!C49/取数!C97*取数!C98,0)</x:f>
        <x:v>3654783</x:v>
      </x:c>
      <x:c r="D50" s="35" t="s">
        <x:v>166</x:v>
      </x:c>
      <x:c r="E50" s="35" t="s">
        <x:v>412</x:v>
      </x:c>
    </x:row>
    <x:row r="51" ht="40" hidden="0" customHeight="1">
      <x:c r="A51" s="57" t="s">
        <x:v>413</x:v>
      </x:c>
      <x:c r="B51" s="35" t="s">
        <x:v>414</x:v>
      </x:c>
      <x:c r="C51" s="76" t="n">
        <x:f>ROUNDDOWN(核对测算!C49/取数!C97*取数!C99,0)</x:f>
        <x:v>17549672</x:v>
      </x:c>
      <x:c r="D51" s="35" t="s">
        <x:v>258</x:v>
      </x:c>
      <x:c r="E51" s="35" t="s">
        <x:v>415</x:v>
      </x:c>
    </x:row>
    <x:row r="52" ht="32" hidden="0" customHeight="1">
      <x:c r="A52" s="57" t="s">
        <x:v>416</x:v>
      </x:c>
      <x:c r="B52" s="35" t="s">
        <x:v>417</x:v>
      </x:c>
      <x:c r="C52" s="75" t="n">
        <x:f>核对测算!C50/取数!C107</x:f>
        <x:v>365.4783</x:v>
      </x:c>
      <x:c r="D52" s="35" t="s">
        <x:v>418</x:v>
      </x:c>
      <x:c r="E52" s="35" t="s">
        <x:v>302</x:v>
      </x:c>
    </x:row>
    <x:row r="53" ht="32" hidden="0" customHeight="1">
      <x:c r="A53" s="57" t="s">
        <x:v>419</x:v>
      </x:c>
      <x:c r="B53" s="35" t="s">
        <x:v>420</x:v>
      </x:c>
      <x:c r="C53" s="75" t="n">
        <x:f>核对测算!C51/取数!C107</x:f>
        <x:v>1754.9672</x:v>
      </x:c>
      <x:c r="D53" s="35" t="s">
        <x:v>421</x:v>
      </x:c>
      <x:c r="E53" s="35" t="s">
        <x:v>302</x:v>
      </x:c>
    </x:row>
    <x:row r="54" ht="40" hidden="0" customHeight="1">
      <x:c r="A54" s="57" t="s">
        <x:v>422</x:v>
      </x:c>
      <x:c r="B54" s="35" t="s">
        <x:v>423</x:v>
      </x:c>
      <x:c r="C54" s="78" t="n">
        <x:f>取数!C98*取数!C100+取数!C99*取数!C102</x:f>
        <x:v>99.9975</x:v>
      </x:c>
      <x:c r="D54" s="35" t="s">
        <x:v>424</x:v>
      </x:c>
      <x:c r="E54" s="35" t="s">
        <x:v>302</x:v>
      </x:c>
    </x:row>
    <x:row r="55" ht="32" hidden="0" customHeight="1">
      <x:c r="A55" s="57" t="s">
        <x:v>425</x:v>
      </x:c>
      <x:c r="B55" s="35" t="s">
        <x:v>426</x:v>
      </x:c>
      <x:c r="C55" s="78" t="n">
        <x:f>取数!C98*核对测算!C33</x:f>
        <x:v>14.967328333311498</x:v>
      </x:c>
      <x:c r="D55" s="35" t="s">
        <x:v>424</x:v>
      </x:c>
      <x:c r="E55" s="35" t="s">
        <x:v>302</x:v>
      </x:c>
    </x:row>
    <x:row r="56" ht="40" hidden="0" customHeight="1">
      <x:c r="A56" s="57" t="s">
        <x:v>427</x:v>
      </x:c>
      <x:c r="B56" s="35" t="s">
        <x:v>428</x:v>
      </x:c>
      <x:c r="C56" s="75" t="n">
        <x:f>取数!C74/取数!C98*取数!C97</x:f>
        <x:v>13737910466.717672</x:v>
      </x:c>
      <x:c r="D56" s="35" t="s">
        <x:v>106</x:v>
      </x:c>
      <x:c r="E56" s="35" t="s">
        <x:v>302</x:v>
      </x:c>
    </x:row>
    <x:row r="57" ht="40" hidden="0" customHeight="1">
      <x:c r="A57" s="57" t="s">
        <x:v>429</x:v>
      </x:c>
      <x:c r="B57" s="35" t="s">
        <x:v>430</x:v>
      </x:c>
      <x:c r="C57" s="75" t="n">
        <x:f>取数!C101/取数!C99*取数!C97</x:f>
        <x:v>13739448875.079668</x:v>
      </x:c>
      <x:c r="D57" s="35" t="s">
        <x:v>106</x:v>
      </x:c>
      <x:c r="E57" s="35" t="s">
        <x:v>302</x:v>
      </x:c>
    </x:row>
    <x:row r="58" ht="40" hidden="0" customHeight="1">
      <x:c r="A58" s="57" t="s">
        <x:v>431</x:v>
      </x:c>
      <x:c r="B58" s="35" t="s">
        <x:v>432</x:v>
      </x:c>
      <x:c r="C58" s="75" t="n">
        <x:f>核对测算!C57-核对测算!C56</x:f>
        <x:v>1538408.361995697</x:v>
      </x:c>
      <x:c r="D58" s="35" t="s">
        <x:v>106</x:v>
      </x:c>
      <x:c r="E58" s="35" t="s">
        <x:v>302</x:v>
      </x:c>
    </x:row>
    <x:row r="59" ht="40" hidden="0" customHeight="1">
      <x:c r="A59" s="57" t="s">
        <x:v>433</x:v>
      </x:c>
      <x:c r="B59" s="35" t="s">
        <x:v>434</x:v>
      </x:c>
      <x:c r="C59" s="75" t="n">
        <x:f>核对测算!C58/核对测算!C56*取数!C108</x:f>
        <x:v>0.011198270404533077</x:v>
      </x:c>
      <x:c r="D59" s="35" t="s">
        <x:v>269</x:v>
      </x:c>
      <x:c r="E59" s="35" t="s">
        <x:v>435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5" hidden="0" customWidth="1"/>
    <x:col min="6" max="6" width="45" hidden="0" customWidth="1"/>
  </x:cols>
  <x:sheetData>
    <x:row r="1" ht="32" hidden="0" customHeight="1">
      <x:c r="A1" s="39" t="s">
        <x:v>1</x:v>
      </x:c>
      <x:c r="B1" s="39" t="s">
        <x:v>8</x:v>
      </x:c>
      <x:c r="C1" s="39" t="s">
        <x:v>436</x:v>
      </x:c>
      <x:c r="D1" s="39" t="s">
        <x:v>437</x:v>
      </x:c>
    </x:row>
    <x:row r="2" ht="40" hidden="0" customHeight="1">
      <x:c r="A2" s="35" t="str">
        <x:f>取数!B2</x:f>
        <x:v>评估基准日</x:v>
      </x:c>
      <x:c r="B2" s="58" t="n">
        <x:f>取数!C2</x:f>
        <x:v>46234</x:v>
      </x:c>
      <x:c r="C2" s="35" t="str">
        <x:f>取数!E2</x:f>
        <x:v>据委托函</x:v>
      </x:c>
      <x:c r="D2" s="35" t="s">
        <x:v>438</x:v>
      </x:c>
    </x:row>
    <x:row r="3" ht="40" hidden="0" customHeight="1">
      <x:c r="A3" s="35" t="str">
        <x:f>取数!B3</x:f>
        <x:v>成果提交日</x:v>
      </x:c>
      <x:c r="B3" s="58" t="n">
        <x:f>取数!C3</x:f>
        <x:v>46241</x:v>
      </x:c>
      <x:c r="C3" s="35" t="str">
        <x:f>取数!E3</x:f>
        <x:v>据委托函</x:v>
      </x:c>
      <x:c r="D3" s="35" t="s">
        <x:v>438</x:v>
      </x:c>
    </x:row>
    <x:row r="4" ht="40" hidden="0" customHeight="1">
      <x:c r="A4" s="35" t="str">
        <x:f>取数!B4</x:f>
        <x:v>委托函日期</x:v>
      </x:c>
      <x:c r="B4" s="58" t="n">
        <x:f>取数!C4</x:f>
        <x:v>46235</x:v>
      </x:c>
      <x:c r="C4" s="35" t="str">
        <x:f>取数!E4</x:f>
        <x:v>据委托函</x:v>
      </x:c>
      <x:c r="D4" s="35" t="s">
        <x:v>438</x:v>
      </x:c>
    </x:row>
    <x:row r="5" ht="40" hidden="0" customHeight="1">
      <x:c r="A5" s="35" t="str">
        <x:f>取数!B5</x:f>
        <x:v>意向签署</x:v>
      </x:c>
      <x:c r="B5" s="58" t="n">
        <x:f>取数!C5</x:f>
        <x:v>44777</x:v>
      </x:c>
      <x:c r="C5" s="35" t="str">
        <x:f>取数!E5</x:f>
        <x:v>广田集团_投资公告及核查意见合订.pdf，PDF 第1页</x:v>
      </x:c>
      <x:c r="D5" s="35" t="s">
        <x:v>438</x:v>
      </x:c>
    </x:row>
    <x:row r="6" ht="40" hidden="0" customHeight="1">
      <x:c r="A6" s="35" t="str">
        <x:f>取数!B6</x:f>
        <x:v>启动预重整</x:v>
      </x:c>
      <x:c r="B6" s="58" t="n">
        <x:f>取数!C6</x:f>
        <x:v>44931</x:v>
      </x:c>
      <x:c r="C6" s="35" t="str">
        <x:f>取数!E6</x:f>
        <x:v>广田集团_程序公告合订.pdf，PDF 第1页</x:v>
      </x:c>
      <x:c r="D6" s="35" t="s">
        <x:v>438</x:v>
      </x:c>
    </x:row>
    <x:row r="7" ht="40" hidden="0" customHeight="1">
      <x:c r="A7" s="35" t="str">
        <x:f>取数!B7</x:f>
        <x:v>受理重整</x:v>
      </x:c>
      <x:c r="B7" s="58" t="n">
        <x:f>取数!C7</x:f>
        <x:v>45127</x:v>
      </x:c>
      <x:c r="C7" s="35" t="str">
        <x:f>取数!E7</x:f>
        <x:v>广田集团_程序公告合订.pdf，PDF 第23页</x:v>
      </x:c>
      <x:c r="D7" s="35" t="s">
        <x:v>438</x:v>
      </x:c>
    </x:row>
    <x:row r="8" ht="40" hidden="0" customHeight="1">
      <x:c r="A8" s="35" t="str">
        <x:f>取数!B8</x:f>
        <x:v>投资协议签署起日</x:v>
      </x:c>
      <x:c r="B8" s="58" t="n">
        <x:f>取数!C8</x:f>
        <x:v>45239</x:v>
      </x:c>
      <x:c r="C8" s="35" t="str">
        <x:f>取数!E8</x:f>
        <x:v>广田集团_投资公告及核查意见合订.pdf，PDF 第5页</x:v>
      </x:c>
      <x:c r="D8" s="35" t="s">
        <x:v>438</x:v>
      </x:c>
    </x:row>
    <x:row r="9" ht="40" hidden="0" customHeight="1">
      <x:c r="A9" s="35" t="str">
        <x:f>取数!B9</x:f>
        <x:v>投资协议签署止日</x:v>
      </x:c>
      <x:c r="B9" s="58" t="n">
        <x:f>取数!C9</x:f>
        <x:v>45240</x:v>
      </x:c>
      <x:c r="C9" s="35" t="str">
        <x:f>取数!E9</x:f>
        <x:v>广田集团_投资公告及核查意见合订.pdf，PDF 第5页</x:v>
      </x:c>
      <x:c r="D9" s="35" t="s">
        <x:v>438</x:v>
      </x:c>
    </x:row>
    <x:row r="10" ht="40" hidden="0" customHeight="1">
      <x:c r="A10" s="35" t="str">
        <x:f>取数!B10</x:f>
        <x:v>草案落款</x:v>
      </x:c>
      <x:c r="B10" s="58" t="n">
        <x:f>取数!C10</x:f>
        <x:v>45240</x:v>
      </x:c>
      <x:c r="C10" s="35" t="str">
        <x:f>取数!E10</x:f>
        <x:v>广田集团_重整计划草案_2023-11-11.pdf，PDF 第45页</x:v>
      </x:c>
      <x:c r="D10" s="35" t="s">
        <x:v>438</x:v>
      </x:c>
    </x:row>
    <x:row r="11" ht="40" hidden="0" customHeight="1">
      <x:c r="A11" s="35" t="str">
        <x:f>取数!B11</x:f>
        <x:v>草案披露</x:v>
      </x:c>
      <x:c r="B11" s="58" t="n">
        <x:f>取数!C11</x:f>
        <x:v>45241</x:v>
      </x:c>
      <x:c r="C11" s="35" t="str">
        <x:f>取数!E11</x:f>
        <x:v>广田集团_重整计划草案_2023-11-11.pdf，PDF 第1页</x:v>
      </x:c>
      <x:c r="D11" s="35" t="s">
        <x:v>438</x:v>
      </x:c>
    </x:row>
    <x:row r="12" ht="40" hidden="0" customHeight="1">
      <x:c r="A12" s="35" t="str">
        <x:f>取数!B12</x:f>
        <x:v>正式稿落款及会议</x:v>
      </x:c>
      <x:c r="B12" s="58" t="n">
        <x:f>取数!C12</x:f>
        <x:v>45257</x:v>
      </x:c>
      <x:c r="C12" s="35" t="str">
        <x:f>取数!E12</x:f>
        <x:v>广田集团_重整计划_2023-11-29.pdf，PDF 第45页</x:v>
      </x:c>
      <x:c r="D12" s="35" t="s">
        <x:v>438</x:v>
      </x:c>
    </x:row>
    <x:row r="13" ht="40" hidden="0" customHeight="1">
      <x:c r="A13" s="35" t="str">
        <x:f>取数!B13</x:f>
        <x:v>批准计划及监督确认口径日</x:v>
      </x:c>
      <x:c r="B13" s="58" t="n">
        <x:f>取数!C13</x:f>
        <x:v>45258</x:v>
      </x:c>
      <x:c r="C13" s="35" t="str">
        <x:f>取数!E13</x:f>
        <x:v>广田集团_程序公告合订.pdf，PDF 第34页</x:v>
      </x:c>
      <x:c r="D13" s="35" t="s">
        <x:v>438</x:v>
      </x:c>
    </x:row>
    <x:row r="14" ht="40" hidden="0" customHeight="1">
      <x:c r="A14" s="35" t="str">
        <x:f>取数!B14</x:f>
        <x:v>正式稿披露</x:v>
      </x:c>
      <x:c r="B14" s="58" t="n">
        <x:f>取数!C14</x:f>
        <x:v>45259</x:v>
      </x:c>
      <x:c r="C14" s="35" t="str">
        <x:f>取数!E14</x:f>
        <x:v>广田集团_程序公告合订.pdf，PDF 第34页</x:v>
      </x:c>
      <x:c r="D14" s="35" t="s">
        <x:v>438</x:v>
      </x:c>
    </x:row>
    <x:row r="15" ht="40" hidden="0" customHeight="1">
      <x:c r="A15" s="35" t="str">
        <x:f>取数!B15</x:f>
        <x:v>向经营平台转让资产</x:v>
      </x:c>
      <x:c r="B15" s="58" t="n">
        <x:f>取数!C15</x:f>
        <x:v>45275</x:v>
      </x:c>
      <x:c r="C15" s="35" t="str">
        <x:f>取数!E15</x:f>
        <x:v>广田集团_年报问询回复_2024-06-15.pdf，PDF 第46页</x:v>
      </x:c>
      <x:c r="D15" s="35" t="s">
        <x:v>438</x:v>
      </x:c>
    </x:row>
    <x:row r="16" ht="40" hidden="0" customHeight="1">
      <x:c r="A16" s="35" t="str">
        <x:f>取数!B16</x:f>
        <x:v>签信托合同</x:v>
      </x:c>
      <x:c r="B16" s="58" t="n">
        <x:f>取数!C16</x:f>
        <x:v>45279</x:v>
      </x:c>
      <x:c r="C16" s="35" t="str">
        <x:f>取数!E16</x:f>
        <x:v>广田集团_执行与诉讼公告合订.pdf，PDF 第3页</x:v>
      </x:c>
      <x:c r="D16" s="35" t="s">
        <x:v>438</x:v>
      </x:c>
    </x:row>
    <x:row r="17" ht="40" hidden="0" customHeight="1">
      <x:c r="A17" s="35" t="str">
        <x:f>取数!B17</x:f>
        <x:v>监督报告截止</x:v>
      </x:c>
      <x:c r="B17" s="58" t="n">
        <x:f>取数!C17</x:f>
        <x:v>45280</x:v>
      </x:c>
      <x:c r="C17" s="35" t="str">
        <x:f>取数!E17</x:f>
        <x:v>广田集团_执行与诉讼公告合订.pdf，PDF 第5页</x:v>
      </x:c>
      <x:c r="D17" s="35" t="s">
        <x:v>438</x:v>
      </x:c>
    </x:row>
    <x:row r="18" ht="40" hidden="0" customHeight="1">
      <x:c r="A18" s="35" t="str">
        <x:f>取数!B18</x:f>
        <x:v>法院确认执行完毕</x:v>
      </x:c>
      <x:c r="B18" s="58" t="n">
        <x:f>取数!C18</x:f>
        <x:v>45282</x:v>
      </x:c>
      <x:c r="C18" s="35" t="str">
        <x:f>取数!E18</x:f>
        <x:v>广田集团_执行与诉讼公告合订.pdf，PDF 第10、12页</x:v>
      </x:c>
      <x:c r="D18" s="35" t="s">
        <x:v>438</x:v>
      </x:c>
    </x:row>
    <x:row r="19" ht="40" hidden="0" customHeight="1">
      <x:c r="A19" s="35" t="str">
        <x:f>取数!B19</x:f>
        <x:v>信托成立</x:v>
      </x:c>
      <x:c r="B19" s="58" t="n">
        <x:f>取数!C19</x:f>
        <x:v>45286</x:v>
      </x:c>
      <x:c r="C19" s="35" t="str">
        <x:f>取数!E19</x:f>
        <x:v>广田集团_年报问询回复_2024-06-15.pdf，PDF 第47页</x:v>
      </x:c>
      <x:c r="D19" s="35" t="s">
        <x:v>438</x:v>
      </x:c>
    </x:row>
    <x:row r="20" ht="40" hidden="0" customHeight="1">
      <x:c r="A20" s="35" t="str">
        <x:f>取数!B20</x:f>
        <x:v>首次向投资人及债权人划转</x:v>
      </x:c>
      <x:c r="B20" s="58" t="n">
        <x:f>取数!C20</x:f>
        <x:v>45287</x:v>
      </x:c>
      <x:c r="C20" s="35" t="str">
        <x:f>取数!E20</x:f>
        <x:v>广田集团_年报问询回复_2024-06-15.pdf，PDF 第49页</x:v>
      </x:c>
      <x:c r="D20" s="35" t="s">
        <x:v>438</x:v>
      </x:c>
    </x:row>
    <x:row r="21" ht="40" hidden="0" customHeight="1">
      <x:c r="A21" s="35" t="str">
        <x:f>取数!B21</x:f>
        <x:v>2023年末</x:v>
      </x:c>
      <x:c r="B21" s="58" t="n">
        <x:f>取数!C21</x:f>
        <x:v>45291</x:v>
      </x:c>
      <x:c r="C21" s="35" t="str">
        <x:f>取数!E21</x:f>
        <x:v>广田集团_2023年年度报告_2024-04-27.pdf，PDF 第89页</x:v>
      </x:c>
      <x:c r="D21" s="35" t="s">
        <x:v>438</x:v>
      </x:c>
    </x:row>
    <x:row r="22" ht="40" hidden="0" customHeight="1">
      <x:c r="A22" s="35" t="str">
        <x:f>取数!B22</x:f>
        <x:v>第二批抵债股划转</x:v>
      </x:c>
      <x:c r="B22" s="58" t="n">
        <x:f>取数!C22</x:f>
        <x:v>45330</x:v>
      </x:c>
      <x:c r="C22" s="35" t="str">
        <x:f>取数!E22</x:f>
        <x:v>广田集团_年报问询回复_2024-06-15.pdf，PDF 第49页</x:v>
      </x:c>
      <x:c r="D22" s="35" t="s">
        <x:v>438</x:v>
      </x:c>
    </x:row>
    <x:row r="23" ht="40" hidden="0" customHeight="1">
      <x:c r="A23" s="35" t="str">
        <x:f>取数!B23</x:f>
        <x:v>第三批抵债股划转</x:v>
      </x:c>
      <x:c r="B23" s="58" t="n">
        <x:f>取数!C23</x:f>
        <x:v>45412</x:v>
      </x:c>
      <x:c r="C23" s="35" t="str">
        <x:f>取数!E23</x:f>
        <x:v>广田集团_年报问询回复_2024-06-15.pdf，PDF 第49、54页</x:v>
      </x:c>
      <x:c r="D23" s="35" t="s">
        <x:v>438</x:v>
      </x:c>
    </x:row>
    <x:row r="24" ht="40" hidden="0" customHeight="1">
      <x:c r="A24" s="35" t="str">
        <x:f>取数!B24</x:f>
        <x:v>非标专项签章</x:v>
      </x:c>
      <x:c r="B24" s="58" t="n">
        <x:f>取数!C24</x:f>
        <x:v>45407</x:v>
      </x:c>
      <x:c r="C24" s="35" t="str">
        <x:f>取数!E24</x:f>
        <x:v>广田集团_非标意见消除专项说明_2024-04-27.pdf，PDF 第4页</x:v>
      </x:c>
      <x:c r="D24" s="35" t="s">
        <x:v>438</x:v>
      </x:c>
    </x:row>
    <x:row r="25" ht="40" hidden="0" customHeight="1">
      <x:c r="A25" s="35" t="str">
        <x:f>取数!B25</x:f>
        <x:v>非标专项披露</x:v>
      </x:c>
      <x:c r="B25" s="58" t="n">
        <x:f>取数!C25</x:f>
        <x:v>45409</x:v>
      </x:c>
      <x:c r="C25" s="35" t="str">
        <x:f>取数!E25</x:f>
        <x:v>广田集团_非标意见消除专项说明_2024-04-27.pdf，PDF 第1页</x:v>
      </x:c>
      <x:c r="D25" s="35" t="s">
        <x:v>438</x:v>
      </x:c>
    </x:row>
    <x:row r="26" ht="40" hidden="0" customHeight="1">
      <x:c r="A26" s="35" t="str">
        <x:f>取数!B26</x:f>
        <x:v>问询回复披露</x:v>
      </x:c>
      <x:c r="B26" s="58" t="n">
        <x:f>取数!C26</x:f>
        <x:v>45458</x:v>
      </x:c>
      <x:c r="C26" s="35" t="str">
        <x:f>取数!E26</x:f>
        <x:v>广田集团_会计师问询回复_2024-06-15.pdf，PDF 第1页</x:v>
      </x:c>
      <x:c r="D26" s="35" t="s">
        <x:v>438</x:v>
      </x:c>
    </x:row>
    <x:row r="27" ht="40" hidden="0" customHeight="1">
      <x:c r="A27" s="35" t="str">
        <x:f>取数!B27</x:f>
        <x:v>2024年末</x:v>
      </x:c>
      <x:c r="B27" s="58" t="n">
        <x:f>取数!C27</x:f>
        <x:v>45657</x:v>
      </x:c>
      <x:c r="C27" s="35" t="str">
        <x:f>取数!E27</x:f>
        <x:v>广田集团_2024年年度报告_2025-04-22.pdf，PDF 第67页</x:v>
      </x:c>
      <x:c r="D27" s="35" t="s">
        <x:v>438</x:v>
      </x:c>
    </x:row>
    <x:row r="28" ht="40" hidden="0" customHeight="1">
      <x:c r="A28" s="35" t="str">
        <x:f>取数!B28</x:f>
        <x:v>2025年中</x:v>
      </x:c>
      <x:c r="B28" s="58" t="n">
        <x:f>取数!C28</x:f>
        <x:v>45838</x:v>
      </x:c>
      <x:c r="C28" s="35" t="str">
        <x:f>取数!E28</x:f>
        <x:v>广田集团_2025年半年度报告_2025-08-22.pdf，PDF 第35页</x:v>
      </x:c>
      <x:c r="D28" s="35" t="s">
        <x:v>438</x:v>
      </x:c>
    </x:row>
    <x:row r="29" ht="40" hidden="0" customHeight="1">
      <x:c r="A29" s="35" t="str">
        <x:f>取数!B29</x:f>
        <x:v>2025年末</x:v>
      </x:c>
      <x:c r="B29" s="58" t="n">
        <x:f>取数!C29</x:f>
        <x:v>46022</x:v>
      </x:c>
      <x:c r="C29" s="35" t="str">
        <x:f>取数!E29</x:f>
        <x:v>广田集团_2025年年度报告_2026-04-24.pdf，PDF 第61页</x:v>
      </x:c>
      <x:c r="D29" s="35" t="s">
        <x:v>438</x:v>
      </x:c>
    </x:row>
    <x:row r="30" ht="40" hidden="0" customHeight="1">
      <x:c r="A30" s="35" t="str">
        <x:f>取数!B30</x:f>
        <x:v>收到宝嘉调解书</x:v>
      </x:c>
      <x:c r="B30" s="58" t="n">
        <x:f>取数!C30</x:f>
        <x:v>45765</x:v>
      </x:c>
      <x:c r="C30" s="35" t="str">
        <x:f>取数!E30</x:f>
        <x:v>广田集团_执行与诉讼公告合订.pdf，PDF 第20页</x:v>
      </x:c>
      <x:c r="D30" s="35" t="s">
        <x:v>438</x:v>
      </x:c>
    </x:row>
    <x:row r="31" ht="40" hidden="0" customHeight="1">
      <x:c r="A31" s="35" t="str">
        <x:f>取数!B31</x:f>
        <x:v>宝嘉调解公告</x:v>
      </x:c>
      <x:c r="B31" s="58" t="n">
        <x:f>取数!C31</x:f>
        <x:v>45769</x:v>
      </x:c>
      <x:c r="C31" s="35" t="str">
        <x:f>取数!E31</x:f>
        <x:v>广田集团_执行与诉讼公告合订.pdf，PDF 第20页</x:v>
      </x:c>
      <x:c r="D31" s="35" t="s">
        <x:v>438</x:v>
      </x:c>
    </x:row>
    <x:row r="32" ht="40" hidden="0" customHeight="1">
      <x:c r="A32" s="35" t="str">
        <x:f>取数!B32</x:f>
        <x:v>最新累计诉讼公告</x:v>
      </x:c>
      <x:c r="B32" s="58" t="n">
        <x:f>取数!C32</x:f>
        <x:v>46214</x:v>
      </x:c>
      <x:c r="C32" s="35" t="str">
        <x:f>取数!E32</x:f>
        <x:v>广田集团_执行与诉讼公告合订.pdf，PDF 第23页</x:v>
      </x:c>
      <x:c r="D32" s="35" t="s">
        <x:v>438</x:v>
      </x:c>
    </x:row>
    <x:row r="33" ht="40" hidden="0" customHeight="1">
      <x:c r="A33" s="35" t="str">
        <x:f>取数!B33</x:f>
        <x:v>交易所2022版发布</x:v>
      </x:c>
      <x:c r="B33" s="58" t="n">
        <x:f>取数!C33</x:f>
        <x:v>44651</x:v>
      </x:c>
      <x:c r="C33" s="35" t="str">
        <x:f>取数!E33</x:f>
        <x:v>上市公司重整交易所规则合订.pdf：2022年发布通知</x:v>
      </x:c>
      <x:c r="D33" s="35" t="s">
        <x:v>438</x:v>
      </x:c>
    </x:row>
    <x:row r="34" ht="40" hidden="0" customHeight="1">
      <x:c r="A34" s="35" t="str">
        <x:f>取数!B34</x:f>
        <x:v>交易所2025版发布</x:v>
      </x:c>
      <x:c r="B34" s="58" t="n">
        <x:f>取数!C34</x:f>
        <x:v>45730</x:v>
      </x:c>
      <x:c r="C34" s="35" t="str">
        <x:f>取数!E34</x:f>
        <x:v>上市公司重整交易所规则合订.pdf：2025年发布通知</x:v>
      </x:c>
      <x:c r="D34" s="35" t="s">
        <x:v>438</x:v>
      </x:c>
    </x:row>
    <x:row r="35" ht="40" hidden="0" customHeight="1">
      <x:c r="A35" s="35" t="str">
        <x:f>取数!B35</x:f>
        <x:v>2024纪要印发</x:v>
      </x:c>
      <x:c r="B35" s="58" t="n">
        <x:f>取数!C35</x:f>
        <x:v>45657</x:v>
      </x:c>
      <x:c r="C35" s="35" t="str">
        <x:f>取数!E35</x:f>
        <x:v>企业重整法律及司法文件合订.pdf：2024年纪要通知</x:v>
      </x:c>
      <x:c r="D35" s="35" t="s">
        <x:v>438</x:v>
      </x:c>
    </x:row>
    <x:row r="36" ht="40" hidden="0" customHeight="1">
      <x:c r="A36" s="35" t="s">
        <x:v>389</x:v>
      </x:c>
      <x:c r="B36" s="58" t="n">
        <x:f>核对测算!C41</x:f>
        <x:v>46223</x:v>
      </x:c>
      <x:c r="C36" s="35" t="s">
        <x:v>439</x:v>
      </x:c>
      <x:c r="D36" s="35" t="s">
        <x:v>440</x:v>
      </x:c>
    </x:row>
    <x:row r="37" ht="40" hidden="0" customHeight="1">
      <x:c r="A37" s="35" t="s">
        <x:v>391</x:v>
      </x:c>
      <x:c r="B37" s="58" t="n">
        <x:f>核对测算!C42</x:f>
        <x:v>46376</x:v>
      </x:c>
      <x:c r="C37" s="35" t="s">
        <x:v>439</x:v>
      </x:c>
      <x:c r="D37" s="35" t="s">
        <x:v>440</x:v>
      </x:c>
    </x:row>
    <x:row r="38" ht="40" hidden="0" customHeight="1">
      <x:c r="A38" s="35" t="s">
        <x:v>393</x:v>
      </x:c>
      <x:c r="B38" s="58" t="n">
        <x:f>核对测算!C43</x:f>
        <x:v>46378</x:v>
      </x:c>
      <x:c r="C38" s="35" t="s">
        <x:v>439</x:v>
      </x:c>
      <x:c r="D38" s="35" t="s">
        <x:v>440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5" hidden="0" customWidth="1"/>
    <x:col min="6" max="6" width="45" hidden="0" customWidth="1"/>
  </x:cols>
  <x:sheetData>
    <x:row r="1" ht="32" hidden="0" customHeight="1">
      <x:c r="A1" s="39" t="s">
        <x:v>1</x:v>
      </x:c>
      <x:c r="B1" s="39" t="s">
        <x:v>441</x:v>
      </x:c>
      <x:c r="C1" s="39" t="s">
        <x:v>442</x:v>
      </x:c>
      <x:c r="D1" s="39" t="s">
        <x:v>443</x:v>
      </x:c>
    </x:row>
    <x:row r="2" ht="40" hidden="0" customHeight="1">
      <x:c r="A2" s="35" t="s">
        <x:v>444</x:v>
      </x:c>
      <x:c r="B2" s="35" t="s">
        <x:v>445</x:v>
      </x:c>
      <x:c r="C2" s="35" t="s">
        <x:v>446</x:v>
      </x:c>
      <x:c r="D2" s="35" t="s">
        <x:v>447</x:v>
      </x:c>
    </x:row>
    <x:row r="3" ht="32" hidden="0" customHeight="1">
      <x:c r="A3" s="35" t="s">
        <x:v>448</x:v>
      </x:c>
      <x:c r="B3" s="35" t="s">
        <x:v>449</x:v>
      </x:c>
      <x:c r="C3" s="35" t="s">
        <x:v>450</x:v>
      </x:c>
      <x:c r="D3" s="35" t="s">
        <x:v>451</x:v>
      </x:c>
    </x:row>
    <x:row r="4" ht="32" hidden="0" customHeight="1">
      <x:c r="A4" s="35" t="s">
        <x:v>452</x:v>
      </x:c>
      <x:c r="B4" s="35" t="s">
        <x:v>453</x:v>
      </x:c>
      <x:c r="C4" s="35" t="s">
        <x:v>454</x:v>
      </x:c>
      <x:c r="D4" s="35" t="s">
        <x:v>455</x:v>
      </x:c>
    </x:row>
    <x:row r="5" ht="40" hidden="0" customHeight="1">
      <x:c r="A5" s="35" t="s">
        <x:v>456</x:v>
      </x:c>
      <x:c r="B5" s="35" t="s">
        <x:v>457</x:v>
      </x:c>
      <x:c r="C5" s="35" t="s">
        <x:v>458</x:v>
      </x:c>
      <x:c r="D5" s="35" t="s">
        <x:v>459</x:v>
      </x:c>
    </x:row>
    <x:row r="6" ht="40" hidden="0" customHeight="1">
      <x:c r="A6" s="35" t="s">
        <x:v>460</x:v>
      </x:c>
      <x:c r="B6" s="35" t="s">
        <x:v>461</x:v>
      </x:c>
      <x:c r="C6" s="35" t="s">
        <x:v>462</x:v>
      </x:c>
      <x:c r="D6" s="35" t="s">
        <x:v>463</x:v>
      </x:c>
    </x:row>
    <x:row r="7" ht="40" hidden="0" customHeight="1">
      <x:c r="A7" s="35" t="s">
        <x:v>464</x:v>
      </x:c>
      <x:c r="B7" s="35" t="s">
        <x:v>465</x:v>
      </x:c>
      <x:c r="C7" s="35" t="s">
        <x:v>466</x:v>
      </x:c>
      <x:c r="D7" s="35" t="s">
        <x:v>467</x:v>
      </x:c>
    </x:row>
    <x:row r="8" ht="32" hidden="0" customHeight="1">
      <x:c r="A8" s="35" t="s">
        <x:v>468</x:v>
      </x:c>
      <x:c r="B8" s="35" t="s">
        <x:v>469</x:v>
      </x:c>
      <x:c r="C8" s="35" t="s">
        <x:v>470</x:v>
      </x:c>
      <x:c r="D8" s="35" t="s">
        <x:v>471</x:v>
      </x:c>
    </x:row>
    <x:row r="9" ht="40" hidden="0" customHeight="1">
      <x:c r="A9" s="35" t="s">
        <x:v>472</x:v>
      </x:c>
      <x:c r="B9" s="35" t="s">
        <x:v>473</x:v>
      </x:c>
      <x:c r="C9" s="35" t="s">
        <x:v>474</x:v>
      </x:c>
      <x:c r="D9" s="35" t="s">
        <x:v>475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5" hidden="0" customWidth="1"/>
    <x:col min="6" max="6" width="45" hidden="0" customWidth="1"/>
  </x:cols>
  <x:sheetData>
    <x:row r="1" ht="32" hidden="0" customHeight="1">
      <x:c r="A1" s="39" t="s">
        <x:v>476</x:v>
      </x:c>
      <x:c r="B1" s="39" t="s">
        <x:v>477</x:v>
      </x:c>
    </x:row>
    <x:row r="2" ht="40" hidden="0" customHeight="1">
      <x:c r="A2" s="57" t="n">
        <x:v>1</x:v>
      </x:c>
      <x:c r="B2" s="35" t="s">
        <x:v>478</x:v>
      </x:c>
    </x:row>
    <x:row r="3" ht="40" hidden="0" customHeight="1">
      <x:c r="A3" s="57" t="n">
        <x:v>2</x:v>
      </x:c>
      <x:c r="B3" s="35" t="s">
        <x:v>479</x:v>
      </x:c>
    </x:row>
    <x:row r="4" ht="40" hidden="0" customHeight="1">
      <x:c r="A4" s="57" t="n">
        <x:v>3</x:v>
      </x:c>
      <x:c r="B4" s="35" t="s">
        <x:v>130</x:v>
      </x:c>
    </x:row>
    <x:row r="5" ht="40" hidden="0" customHeight="1">
      <x:c r="A5" s="57" t="n">
        <x:v>4</x:v>
      </x:c>
      <x:c r="B5" s="35" t="s">
        <x:v>480</x:v>
      </x:c>
    </x:row>
    <x:row r="6" ht="55" hidden="0" customHeight="1">
      <x:c r="A6" s="57" t="n">
        <x:v>5</x:v>
      </x:c>
      <x:c r="B6" s="35" t="s">
        <x:v>481</x:v>
      </x:c>
    </x:row>
    <x:row r="7" ht="40" hidden="0" customHeight="1">
      <x:c r="A7" s="57" t="n">
        <x:v>6</x:v>
      </x:c>
      <x:c r="B7" s="35" t="s">
        <x:v>482</x:v>
      </x:c>
    </x:row>
    <x:row r="8" ht="40" hidden="0" customHeight="1">
      <x:c r="A8" s="57" t="n">
        <x:v>7</x:v>
      </x:c>
      <x:c r="B8" s="35" t="s">
        <x:v>483</x:v>
      </x:c>
    </x:row>
    <x:row r="9" ht="40" hidden="0" customHeight="1">
      <x:c r="A9" s="57" t="n">
        <x:v>8</x:v>
      </x:c>
      <x:c r="B9" s="35" t="s">
        <x:v>484</x:v>
      </x:c>
    </x:row>
    <x:row r="10" ht="40" hidden="0" customHeight="1">
      <x:c r="A10" s="57" t="n">
        <x:v>9</x:v>
      </x:c>
      <x:c r="B10" s="35" t="s">
        <x:v>485</x:v>
      </x:c>
    </x:row>
    <x:row r="11" ht="40" hidden="0" customHeight="1">
      <x:c r="A11" s="57" t="n">
        <x:v>10</x:v>
      </x:c>
      <x:c r="B11" s="35" t="s">
        <x:v>486</x:v>
      </x:c>
    </x:row>
    <x:row r="12" ht="40" hidden="0" customHeight="1">
      <x:c r="A12" s="57" t="n">
        <x:v>11</x:v>
      </x:c>
      <x:c r="B12" s="35" t="s">
        <x:v>80</x:v>
      </x:c>
    </x:row>
    <x:row r="13" ht="40" hidden="0" customHeight="1">
      <x:c r="A13" s="57" t="n">
        <x:v>12</x:v>
      </x:c>
      <x:c r="B13" s="35" t="s">
        <x:v>83</x:v>
      </x:c>
    </x:row>
    <x:row r="14" ht="40" hidden="0" customHeight="1">
      <x:c r="A14" s="57" t="n">
        <x:v>13</x:v>
      </x:c>
      <x:c r="B14" s="35" t="s">
        <x:v>86</x:v>
      </x:c>
    </x:row>
    <x:row r="15" ht="40" hidden="0" customHeight="1">
      <x:c r="A15" s="57" t="n">
        <x:v>14</x:v>
      </x:c>
      <x:c r="B15" s="35" t="s">
        <x:v>487</x:v>
      </x:c>
    </x:row>
    <x:row r="16" ht="40" hidden="0" customHeight="1">
      <x:c r="A16" s="57" t="n">
        <x:v>15</x:v>
      </x:c>
      <x:c r="B16" s="35" t="s">
        <x:v>488</x:v>
      </x:c>
    </x:row>
    <x:row r="17" ht="40" hidden="0" customHeight="1">
      <x:c r="A17" s="57" t="n">
        <x:v>16</x:v>
      </x:c>
      <x:c r="B17" s="35" t="s">
        <x:v>273</x:v>
      </x:c>
    </x:row>
    <x:row r="18" ht="40" hidden="0" customHeight="1">
      <x:c r="A18" s="57" t="n">
        <x:v>17</x:v>
      </x:c>
      <x:c r="B18" s="35" t="s">
        <x:v>489</x:v>
      </x:c>
    </x:row>
    <x:row r="19" ht="40" hidden="0" customHeight="1">
      <x:c r="A19" s="57" t="n">
        <x:v>18</x:v>
      </x:c>
      <x:c r="B19" s="35" t="s">
        <x:v>490</x:v>
      </x:c>
    </x:row>
    <x:row r="20" ht="40" hidden="0" customHeight="1">
      <x:c r="A20" s="57" t="n">
        <x:v>19</x:v>
      </x:c>
      <x:c r="B20" s="35" t="s">
        <x:v>491</x:v>
      </x:c>
    </x:row>
    <x:row r="21" ht="40" hidden="0" customHeight="1">
      <x:c r="A21" s="57" t="n">
        <x:v>20</x:v>
      </x:c>
      <x:c r="B21" s="35" t="s">
        <x:v>492</x:v>
      </x:c>
    </x:row>
    <x:row r="22" ht="70" hidden="0" customHeight="1">
      <x:c r="A22" s="57" t="n">
        <x:v>21</x:v>
      </x:c>
      <x:c r="B22" s="35" t="s">
        <x:v>493</x:v>
      </x:c>
    </x:row>
    <x:row r="23" ht="40" hidden="0" customHeight="1">
      <x:c r="A23" s="57" t="n">
        <x:v>22</x:v>
      </x:c>
      <x:c r="B23" s="35" t="s">
        <x:v>494</x:v>
      </x:c>
    </x:row>
    <x:row r="24" ht="40" hidden="0" customHeight="1">
      <x:c r="A24" s="35" t="s">
        <x:v>495</x:v>
      </x:c>
      <x:c r="B24" s="35" t="str">
        <x:v>岑晗资产管理_委托函.docx：委托方、立场、基准日和提交日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22" hidden="0" customWidth="1"/>
    <x:col min="2" max="2" width="36" hidden="0" customWidth="1"/>
    <x:col min="3" max="3" width="25" hidden="0" customWidth="1"/>
    <x:col min="4" max="4" width="18" hidden="0" customWidth="1"/>
    <x:col min="5" max="5" width="75" hidden="0" customWidth="1"/>
    <x:col min="6" max="6" width="45" hidden="0" customWidth="1"/>
  </x:cols>
  <x:sheetData>
    <x:row r="1" ht="32" hidden="0" customHeight="1">
      <x:c r="A1" s="39" t="s">
        <x:v>1</x:v>
      </x:c>
      <x:c r="B1" s="39" t="s">
        <x:v>496</x:v>
      </x:c>
      <x:c r="C1" s="39" t="s">
        <x:v>497</x:v>
      </x:c>
    </x:row>
    <x:row r="2" ht="55" hidden="0" customHeight="1">
      <x:c r="A2" s="35" t="s">
        <x:v>498</x:v>
      </x:c>
      <x:c r="B2" s="57" t="s">
        <x:v>499</x:v>
      </x:c>
      <x:c r="C2" s="35" t="s">
        <x:v>500</x:v>
      </x:c>
    </x:row>
    <x:row r="3" ht="40" hidden="0" customHeight="1">
      <x:c r="A3" s="35" t="s">
        <x:v>501</x:v>
      </x:c>
      <x:c r="B3" s="35" t="s">
        <x:v>502</x:v>
      </x:c>
      <x:c r="C3" s="35" t="s">
        <x:v>503</x:v>
      </x:c>
    </x:row>
    <x:row r="4" ht="40" hidden="0" customHeight="1">
      <x:c r="A4" s="35" t="s">
        <x:v>504</x:v>
      </x:c>
      <x:c r="B4" s="35" t="s">
        <x:v>505</x:v>
      </x:c>
      <x:c r="C4" s="35" t="s">
        <x:v>503</x:v>
      </x:c>
    </x:row>
    <x:row r="5" ht="55" hidden="0" customHeight="1">
      <x:c r="A5" s="35" t="s">
        <x:v>506</x:v>
      </x:c>
      <x:c r="B5" s="35" t="s">
        <x:v>507</x:v>
      </x:c>
      <x:c r="C5" s="35" t="str">
        <x:v>企业重整法律及司法文件合订.pdf，PDF第10—11、66、68—69页</x:v>
      </x:c>
    </x:row>
    <x:row r="6" ht="40" hidden="0" customHeight="1">
      <x:c r="A6" s="35" t="s">
        <x:v>508</x:v>
      </x:c>
      <x:c r="B6" s="57" t="s">
        <x:v>509</x:v>
      </x:c>
      <x:c r="C6" s="35" t="s">
        <x:v>510</x:v>
      </x:c>
    </x:row>
    <x:row r="7" ht="85" hidden="0" customHeight="1">
      <x:c r="A7" s="35" t="s">
        <x:v>511</x:v>
      </x:c>
      <x:c r="B7" s="35" t="str">
        <x:v>计划文本同月同日满三年；执行完毕起点以2023年12月20日至22日核查区间管理。已确认须因自身原因未领取；未申报股票份额须仍未主张。日期测算不能直接认定失权。</x:v>
      </x:c>
      <x:c r="C7" s="35" t="s">
        <x:v>512</x:v>
      </x:c>
    </x:row>
    <x:row r="8" ht="70" hidden="0" customHeight="1">
      <x:c r="A8" s="35" t="s">
        <x:v>513</x:v>
      </x:c>
      <x:c r="B8" s="35" t="str">
        <x:v>宝嘉金额仅取公告万元展示值，假设该户唯一确认债权；未扣未经核实的历史受偿。2025年4月确认早于2026年7月文本期满，非已选定出售标的。</x:v>
      </x:c>
      <x:c r="C8" s="35" t="s">
        <x:v>514</x:v>
      </x:c>
    </x:row>
    <x:row r="9" ht="55" hidden="0" customHeight="1">
      <x:c r="A9" s="35" t="s">
        <x:v>515</x:v>
      </x:c>
      <x:c r="B9" s="35" t="s">
        <x:v>516</x:v>
      </x:c>
      <x:c r="C9" s="35" t="s">
        <x:v>517</x:v>
      </x:c>
    </x:row>
    <x:row r="10" ht="40" hidden="0" customHeight="1">
      <x:c r="A10" s="35" t="s">
        <x:v>518</x:v>
      </x:c>
      <x:c r="B10" s="35" t="s">
        <x:v>519</x:v>
      </x:c>
      <x:c r="C10" s="35" t="s">
        <x:v>520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12" hidden="0" customWidth="1"/>
    <x:col min="4" max="4" width="75" hidden="0" customWidth="1"/>
  </x:cols>
  <x:sheetData>
    <x:row r="1" ht="32" customHeight="1">
      <x:c r="A1" s="39" t="str">
        <x:v>事项</x:v>
      </x:c>
      <x:c r="B1" s="39" t="str">
        <x:v>原始值或公式结果</x:v>
      </x:c>
      <x:c r="C1" s="39" t="str">
        <x:v>单位</x:v>
      </x:c>
      <x:c r="D1" s="39" t="str">
        <x:v>依据与口径</x:v>
      </x:c>
    </x:row>
    <x:row r="2" ht="32" customHeight="1">
      <x:c r="A2" s="35" t="str">
        <x:v>非保留资产市场评估值</x:v>
      </x:c>
      <x:c r="B2" s="36" t="n">
        <x:v>5633262345.54</x:v>
      </x:c>
      <x:c r="C2" s="35" t="str">
        <x:v>元</x:v>
      </x:c>
      <x:c r="D2" s="35" t="str">
        <x:v>广田集团_重整计划_2023-11-29.pdf，PDF第25页</x:v>
      </x:c>
    </x:row>
    <x:row r="3" ht="32" customHeight="1">
      <x:c r="A3" s="35" t="str">
        <x:v>担保财产市场评估值</x:v>
      </x:c>
      <x:c r="B3" s="36" t="n">
        <x:v>423105615.56</x:v>
      </x:c>
      <x:c r="C3" s="35" t="str">
        <x:v>元</x:v>
      </x:c>
      <x:c r="D3" s="35" t="str">
        <x:v>广田集团_重整计划_2023-11-29.pdf，PDF第25页</x:v>
      </x:c>
    </x:row>
    <x:row r="4" ht="32" customHeight="1">
      <x:c r="A4" s="35" t="str">
        <x:v>劳务优先财产市场评估值</x:v>
      </x:c>
      <x:c r="B4" s="36" t="n">
        <x:v>898717672.66</x:v>
      </x:c>
      <x:c r="C4" s="35" t="str">
        <x:v>元</x:v>
      </x:c>
      <x:c r="D4" s="35" t="str">
        <x:v>广田集团_重整计划_2023-11-29.pdf，PDF第25页</x:v>
      </x:c>
    </x:row>
    <x:row r="5" ht="32" customHeight="1">
      <x:c r="A5" s="35" t="str">
        <x:v>一般受益权对应资产评估值</x:v>
      </x:c>
      <x:c r="B5" s="36" t="n">
        <x:f>B2-B3-B4</x:f>
        <x:v>4311439057.32</x:v>
      </x:c>
      <x:c r="C5" s="35" t="str">
        <x:v>元</x:v>
      </x:c>
      <x:c r="D5" s="35" t="str">
        <x:v>原始总值扣两类优先财产</x:v>
      </x:c>
    </x:row>
    <x:row r="6" ht="32" customHeight="1">
      <x:c r="A6" s="35" t="str">
        <x:v>一般份额总数</x:v>
      </x:c>
      <x:c r="B6" s="37" t="n">
        <x:f>ROUNDDOWN(B5,0)</x:f>
        <x:v>4311439057</x:v>
      </x:c>
      <x:c r="C6" s="35" t="str">
        <x:v>份</x:v>
      </x:c>
      <x:c r="D6" s="35" t="str">
        <x:v>依计划份额整数口径</x:v>
      </x:c>
    </x:row>
    <x:row r="7" ht="32" customHeight="1">
      <x:c r="A7" s="35" t="str">
        <x:v>份额总数与原计划数核对</x:v>
      </x:c>
      <x:c r="B7" s="37" t="n">
        <x:f>B6-取数!C101</x:f>
        <x:v>0</x:v>
      </x:c>
      <x:c r="C7" s="35" t="str">
        <x:v>份</x:v>
      </x:c>
      <x:c r="D7" s="35" t="str">
        <x:v>应为0</x:v>
      </x:c>
    </x:row>
    <x:row r="8" ht="32" customHeight="1">
      <x:c r="A8" s="35" t="str">
        <x:v>现金、股票、信托价值性质</x:v>
      </x:c>
      <x:c r="B8" s="35" t="str">
        <x:v>各自独立</x:v>
      </x:c>
      <x:c r="C8" s="35" t="str">
        <x:v>说明</x:v>
      </x:c>
      <x:c r="D8" s="35" t="str">
        <x:v>现金请求、股份权益、信托净分配不能不加区分合并为现金</x:v>
      </x:c>
    </x:row>
    <x:row r="9" ht="40" customHeight="1">
      <x:c r="A9" s="35" t="str">
        <x:v>一般信托可分配金额</x:v>
      </x:c>
      <x:c r="B9" s="35" t="str">
        <x:v>待核</x:v>
      </x:c>
      <x:c r="C9" s="35" t="str">
        <x:v>元</x:v>
      </x:c>
      <x:c r="D9" s="35" t="str">
        <x:v>广田集团_重整计划_2023-11-29.pdf，PDF第29—30页：处置与孳息收入扣信托费用、垫付款及第三人负债</x:v>
      </x:c>
    </x:row>
    <x:row r="10" ht="32" customHeight="1">
      <x:c r="A10" s="35" t="str">
        <x:v>受益人税费</x:v>
      </x:c>
      <x:c r="B10" s="35" t="str">
        <x:v>待核</x:v>
      </x:c>
      <x:c r="C10" s="35" t="str">
        <x:v>元</x:v>
      </x:c>
      <x:c r="D10" s="35" t="str">
        <x:v>广田集团_重整计划_2023-11-29.pdf，PDF第30页：由受益人自行负担</x:v>
      </x:c>
    </x:row>
    <x:row r="11" ht="32" customHeight="1">
      <x:c r="A11" s="35" t="str">
        <x:v>已分配对应份额注销</x:v>
      </x:c>
      <x:c r="B11" s="35" t="str">
        <x:v>待核</x:v>
      </x:c>
      <x:c r="C11" s="35" t="str">
        <x:v>份</x:v>
      </x:c>
      <x:c r="D11" s="35" t="str">
        <x:v>广田集团_重整计划_2023-11-29.pdf，PDF第30页：应以受托人分配及注销记录确定</x:v>
      </x:c>
    </x:row>
    <x:row r="12" ht="40" customHeight="1">
      <x:c r="A12" s="35" t="str">
        <x:v>未签领受文本的份额</x:v>
      </x:c>
      <x:c r="B12" s="35" t="str">
        <x:v>需核身份及计提记录</x:v>
      </x:c>
      <x:c r="C12" s="35" t="str">
        <x:v>说明</x:v>
      </x:c>
      <x:c r="D12" s="35" t="str">
        <x:v>广田集团_重整计划_2023-11-29.pdf，PDF第40页：计入总份数、暂不享有表决权、利益计提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13" hidden="0" customWidth="1"/>
    <x:col min="4" max="4" width="85" hidden="0" customWidth="1"/>
  </x:cols>
  <x:sheetData>
    <x:row r="1" ht="32" customHeight="1">
      <x:c r="A1" s="39" t="str">
        <x:v>参数或结果</x:v>
      </x:c>
      <x:c r="B1" s="39" t="str">
        <x:v>数值或状态</x:v>
      </x:c>
      <x:c r="C1" s="39" t="str">
        <x:v>单位</x:v>
      </x:c>
      <x:c r="D1" s="39" t="str">
        <x:v>约束及依据</x:v>
      </x:c>
    </x:row>
    <x:row r="2" ht="32" customHeight="1">
      <x:c r="A2" s="35" t="str">
        <x:v>原户确认债权D</x:v>
      </x:c>
      <x:c r="B2" s="35"/>
      <x:c r="C2" s="35" t="str">
        <x:v>元</x:v>
      </x:c>
      <x:c r="D2" s="35" t="str">
        <x:v>尚未选定标的；以同一原债权人的确认范围核定</x:v>
      </x:c>
    </x:row>
    <x:row r="3" ht="32" customHeight="1">
      <x:c r="A3" s="35" t="str">
        <x:v>原户现金已不在本次转让范围Cused</x:v>
      </x:c>
      <x:c r="B3" s="35"/>
      <x:c r="C3" s="35" t="str">
        <x:v>元</x:v>
      </x:c>
      <x:c r="D3" s="35" t="str">
        <x:v>包括历史已分配、既往转让及其他确定排除；重合事项只计一次，通知前已分配另明确归属</x:v>
      </x:c>
    </x:row>
    <x:row r="4" ht="32" customHeight="1">
      <x:c r="A4" s="35" t="str">
        <x:v>原户股票已不在本次转让范围Sused</x:v>
      </x:c>
      <x:c r="B4" s="35"/>
      <x:c r="C4" s="35" t="str">
        <x:v>股</x:v>
      </x:c>
      <x:c r="D4" s="35" t="str">
        <x:v>包括历史已分配、既往转让及其他确定排除；重合事项只计一次，依登记及管理人记录核定</x:v>
      </x:c>
    </x:row>
    <x:row r="5" ht="32" customHeight="1">
      <x:c r="A5" s="35" t="str">
        <x:v>原户信托已不在转让范围Tused</x:v>
      </x:c>
      <x:c r="B5" s="35"/>
      <x:c r="C5" s="35" t="str">
        <x:v>份</x:v>
      </x:c>
      <x:c r="D5" s="35" t="str">
        <x:v>包括已分配注销、既往转让及其他确定排除；重合事项只计一次，以份额记录核定</x:v>
      </x:c>
    </x:row>
    <x:row r="6" ht="32" customHeight="1">
      <x:c r="A6" s="35" t="str">
        <x:v>拟受让现金比例aC</x:v>
      </x:c>
      <x:c r="B6" s="35"/>
      <x:c r="C6" s="35" t="str">
        <x:v>比例</x:v>
      </x:c>
      <x:c r="D6" s="35" t="str">
        <x:v>各受让人与转让方合计不得超1；单项0至1</x:v>
      </x:c>
    </x:row>
    <x:row r="7" ht="32" customHeight="1">
      <x:c r="A7" s="35" t="str">
        <x:v>拟受让股票比例aS</x:v>
      </x:c>
      <x:c r="B7" s="35"/>
      <x:c r="C7" s="35" t="str">
        <x:v>比例</x:v>
      </x:c>
      <x:c r="D7" s="35" t="str">
        <x:v>比例基数为本表列示的原户剩余权益；与通知保持一致</x:v>
      </x:c>
    </x:row>
    <x:row r="8" ht="32" customHeight="1">
      <x:c r="A8" s="35" t="str">
        <x:v>拟受让信托比例aT</x:v>
      </x:c>
      <x:c r="B8" s="35"/>
      <x:c r="C8" s="35" t="str">
        <x:v>比例</x:v>
      </x:c>
      <x:c r="D8" s="35" t="str">
        <x:v>不默认与债权面额比例相同</x:v>
      </x:c>
    </x:row>
    <x:row r="9" ht="32" customHeight="1">
      <x:c r="A9" s="35" t="str">
        <x:v>可办理依据核明</x:v>
      </x:c>
      <x:c r="B9" s="35"/>
      <x:c r="C9" s="35" t="str">
        <x:v>是/否</x:v>
      </x:c>
      <x:c r="D9" s="35" t="str">
        <x:v>确认、主张、领受、资源保留、通知及办理反馈核明后填是</x:v>
      </x:c>
    </x:row>
    <x:row r="10" ht="32" customHeight="1">
      <x:c r="A10" s="35" t="str">
        <x:v>现金预期净回收折现系数kC</x:v>
      </x:c>
      <x:c r="B10" s="35"/>
      <x:c r="C10" s="35" t="str">
        <x:v>比例</x:v>
      </x:c>
      <x:c r="D10" s="35" t="str">
        <x:v>据现金可支付性、时间、资金成本取证或经委托方确认；非已知值</x:v>
      </x:c>
    </x:row>
    <x:row r="11" ht="32" customHeight="1">
      <x:c r="A11" s="35" t="str">
        <x:v>每股净处置回款现值pS</x:v>
      </x:c>
      <x:c r="B11" s="35"/>
      <x:c r="C11" s="35" t="str">
        <x:v>元/股</x:v>
      </x:c>
      <x:c r="D11" s="35" t="str">
        <x:v>需价格、出售限制、税费与时间证据；不得填历史会计价替代</x:v>
      </x:c>
    </x:row>
    <x:row r="12" ht="32" customHeight="1">
      <x:c r="A12" s="35" t="str">
        <x:v>每份剩余信托净回款现值pT</x:v>
      </x:c>
      <x:c r="B12" s="35"/>
      <x:c r="C12" s="35" t="str">
        <x:v>元/份</x:v>
      </x:c>
      <x:c r="D12" s="35" t="str">
        <x:v>需资产处置、费用、分配及时间证据；不得默认1元</x:v>
      </x:c>
    </x:row>
    <x:row r="13" ht="32" customHeight="1">
      <x:c r="A13" s="35" t="str">
        <x:v>买方其他成本及风险准备K</x:v>
      </x:c>
      <x:c r="B13" s="35"/>
      <x:c r="C13" s="35" t="str">
        <x:v>元</x:v>
      </x:c>
      <x:c r="D13" s="35" t="str">
        <x:v>避免与净回收参数重复扣除；由商务调查确认</x:v>
      </x:c>
    </x:row>
    <x:row r="14" ht="32" customHeight="1">
      <x:c r="A14" s="35" t="str">
        <x:v>原户初始现金C0</x:v>
      </x:c>
      <x:c r="B14" s="36" t="str">
        <x:f>IF(ISNUMBER(B2),MIN(B2,取数!C96),"待核")</x:f>
        <x:v>待核</x:v>
      </x:c>
      <x:c r="C14" s="35" t="str">
        <x:v>元</x:v>
      </x:c>
      <x:c r="D14" s="35" t="str">
        <x:v>按原债权人一次现金档</x:v>
      </x:c>
    </x:row>
    <x:row r="15" ht="32" customHeight="1">
      <x:c r="A15" s="35" t="str">
        <x:v>超出现金债权E</x:v>
      </x:c>
      <x:c r="B15" s="36" t="str">
        <x:f>IF(ISNUMBER(B14),MAX(B2-B14,0),"待核")</x:f>
        <x:v>待核</x:v>
      </x:c>
      <x:c r="C15" s="35" t="str">
        <x:v>元</x:v>
      </x:c>
      <x:c r="D15" s="35" t="str">
        <x:v>原户确认额扣现金</x:v>
      </x:c>
    </x:row>
    <x:row r="16" ht="32" customHeight="1">
      <x:c r="A16" s="35" t="str">
        <x:v>原户初始股票S0</x:v>
      </x:c>
      <x:c r="B16" s="37" t="str">
        <x:f>IF(ISNUMBER(B15),ROUNDDOWN(B15/取数!C97*取数!C98,0),"待核")</x:f>
        <x:v>待核</x:v>
      </x:c>
      <x:c r="C16" s="35" t="str">
        <x:v>股</x:v>
      </x:c>
      <x:c r="D16" s="35" t="str">
        <x:v>计划退一法；登记数优先</x:v>
      </x:c>
    </x:row>
    <x:row r="17" ht="32" customHeight="1">
      <x:c r="A17" s="35" t="str">
        <x:v>原户初始一般份额T0</x:v>
      </x:c>
      <x:c r="B17" s="37" t="str">
        <x:f>IF(ISNUMBER(B15),ROUNDDOWN(B15/取数!C97*取数!C99,0),"待核")</x:f>
        <x:v>待核</x:v>
      </x:c>
      <x:c r="C17" s="35" t="str">
        <x:v>份</x:v>
      </x:c>
      <x:c r="D17" s="35" t="str">
        <x:v>计划退一法；受托人确认记录另核</x:v>
      </x:c>
    </x:row>
    <x:row r="18" ht="32" customHeight="1">
      <x:c r="A18" s="35" t="str">
        <x:v>原户剩余现金Cr</x:v>
      </x:c>
      <x:c r="B18" s="36" t="str">
        <x:f>IF(AND(ISNUMBER(B14),ISNUMBER(B3)),B14-B3,"待核")</x:f>
        <x:v>待核</x:v>
      </x:c>
      <x:c r="C18" s="35" t="str">
        <x:v>元</x:v>
      </x:c>
      <x:c r="D18" s="35" t="str">
        <x:v>不得默认为初始现金；出现负数应暂停核对</x:v>
      </x:c>
    </x:row>
    <x:row r="19" ht="32" customHeight="1">
      <x:c r="A19" s="35" t="str">
        <x:v>原户剩余股票Sr</x:v>
      </x:c>
      <x:c r="B19" s="37" t="str">
        <x:f>IF(AND(ISNUMBER(B16),ISNUMBER(B4)),B16-B4,"待核")</x:f>
        <x:v>待核</x:v>
      </x:c>
      <x:c r="C19" s="35" t="str">
        <x:v>股</x:v>
      </x:c>
      <x:c r="D19" s="35" t="str">
        <x:v>不得默认为初始股票；出现负数应暂停核对</x:v>
      </x:c>
    </x:row>
    <x:row r="20" ht="32" customHeight="1">
      <x:c r="A20" s="35" t="str">
        <x:v>原户剩余信托Tr</x:v>
      </x:c>
      <x:c r="B20" s="37" t="str">
        <x:f>IF(AND(ISNUMBER(B17),ISNUMBER(B5)),B17-B5,"待核")</x:f>
        <x:v>待核</x:v>
      </x:c>
      <x:c r="C20" s="35" t="str">
        <x:v>份</x:v>
      </x:c>
      <x:c r="D20" s="35" t="str">
        <x:v>不得默认为初始份额；注销、转出需扣除</x:v>
      </x:c>
    </x:row>
    <x:row r="21" ht="32" customHeight="1">
      <x:c r="A21" s="35" t="str">
        <x:v>买方现金资源C</x:v>
      </x:c>
      <x:c r="B21" s="36" t="str">
        <x:f>IF(AND(ISNUMBER(B18),ISNUMBER(B6)),B18*B6,"待核")</x:f>
        <x:v>待核</x:v>
      </x:c>
      <x:c r="C21" s="35" t="str">
        <x:v>元</x:v>
      </x:c>
      <x:c r="D21" s="35" t="str">
        <x:v>按剩余权益约定比例；分币及总额由办理文件确定</x:v>
      </x:c>
    </x:row>
    <x:row r="22" ht="32" customHeight="1">
      <x:c r="A22" s="35" t="str">
        <x:v>买方股票资源S</x:v>
      </x:c>
      <x:c r="B22" s="37" t="str">
        <x:f>IF(AND(ISNUMBER(B19),ISNUMBER(B7)),ROUNDDOWN(B19*B7,0),"待核")</x:f>
        <x:v>待核</x:v>
      </x:c>
      <x:c r="C22" s="35" t="str">
        <x:v>股</x:v>
      </x:c>
      <x:c r="D22" s="35" t="str">
        <x:v>暂按向下取整，余股归属须合意及登记核明</x:v>
      </x:c>
    </x:row>
    <x:row r="23" ht="32" customHeight="1">
      <x:c r="A23" s="35" t="str">
        <x:v>买方信托资源T</x:v>
      </x:c>
      <x:c r="B23" s="37" t="str">
        <x:f>IF(AND(ISNUMBER(B20),ISNUMBER(B8)),ROUNDDOWN(B20*B8,0),"待核")</x:f>
        <x:v>待核</x:v>
      </x:c>
      <x:c r="C23" s="35" t="str">
        <x:v>份</x:v>
      </x:c>
      <x:c r="D23" s="35" t="str">
        <x:v>暂按向下取整，余份归属须合意及登记核明</x:v>
      </x:c>
    </x:row>
    <x:row r="24" ht="32" customHeight="1">
      <x:c r="A24" s="35" t="str">
        <x:v>参数与办理状态</x:v>
      </x:c>
      <x:c r="B24" s="35" t="str">
        <x:f>IF(AND(COUNT(B2:B8)=7,COUNT(B10:B13)=4,B9="是"),IF(AND(B2&gt;=0,B3&gt;=0,B4&gt;=0,B5&gt;=0,B6&gt;=0,B6&lt;=1,B7&gt;=0,B7&lt;=1,B8&gt;=0,B8&lt;=1,B10&gt;=0,B10&lt;=1,B11&gt;=0,B12&gt;=0,B13&gt;=0,B18&gt;=0,B19&gt;=0,B20&gt;=0),"可进行条件测算","暂停：参数冲突"),"待核：不确定报价")</x:f>
        <x:v>待核：不确定报价</x:v>
      </x:c>
      <x:c r="C24" s="35" t="str">
        <x:v>状态</x:v>
      </x:c>
      <x:c r="D24" s="35" t="str">
        <x:v>未知不得按0输入；零值必须有证据</x:v>
      </x:c>
    </x:row>
    <x:row r="25" ht="32" customHeight="1">
      <x:c r="A25" s="35" t="str">
        <x:v>不亏损口径对价边界P</x:v>
      </x:c>
      <x:c r="B25" s="36" t="str">
        <x:f>IF(B24="可进行条件测算",B21*B10+B22*B11+B23*B12-B13,"待核")</x:f>
        <x:v>待核</x:v>
      </x:c>
      <x:c r="C25" s="35" t="str">
        <x:v>元</x:v>
      </x:c>
      <x:c r="D25" s="35" t="str">
        <x:v>P≤C×kC+S×pS+T×pT-K；只是给定参数下的决策边界，不是报价</x:v>
      </x:c>
    </x:row>
    <x:row r="26" ht="32" customHeight="1">
      <x:c r="A26" s="35" t="str">
        <x:v>交易限制</x:v>
      </x:c>
      <x:c r="B26" s="35" t="str">
        <x:v>不能确定报价或付款</x:v>
      </x:c>
      <x:c r="C26" s="35" t="str">
        <x:v>说明</x:v>
      </x:c>
      <x:c r="D26" s="35" t="str">
        <x:v>现有公开材料未提供目标债权、历史受偿、协议比例或回收参数</x:v>
      </x:c>
    </x:row>
    <x:row r="27" ht="32" customHeight="1">
      <x:c r="A27" s="35" t="str">
        <x:v>整笔受让</x:v>
      </x:c>
      <x:c r="B27" s="35" t="str">
        <x:v>三项比例均为1</x:v>
      </x:c>
      <x:c r="C27" s="35" t="str">
        <x:v>说明</x:v>
      </x:c>
      <x:c r="D27" s="35" t="str">
        <x:v>仅在取得原户全部剩余权益且资源与手续核明时成立</x:v>
      </x:c>
    </x:row>
    <x:row r="28" ht="32" customHeight="1">
      <x:c r="A28" s="35" t="str">
        <x:v>部分受让</x:v>
      </x:c>
      <x:c r="B28" s="35" t="str">
        <x:v>依协议分配剩余资源</x:v>
      </x:c>
      <x:c r="C28" s="35" t="str">
        <x:v>说明</x:v>
      </x:c>
      <x:c r="D28" s="35" t="str">
        <x:v>不得重新适用8万元现金档；不得使全部受让人资源合计超过原户</x:v>
      </x:c>
    </x:row>
    <x:row r="29" ht="32" customHeight="1">
      <x:c r="A29" s="35" t="str">
        <x:v>通知到达前已分配</x:v>
      </x:c>
      <x:c r="B29" s="35" t="str">
        <x:v>由转让双方处理</x:v>
      </x:c>
      <x:c r="C29" s="35" t="str">
        <x:v>说明</x:v>
      </x:c>
      <x:c r="D29" s="35" t="str">
        <x:v>广田集团_重整计划_2023-11-29.pdf，PDF第43页：不能向管理人要求重复分配</x:v>
      </x:c>
    </x:row>
    <x:row r="30" ht="32" customHeight="1">
      <x:c r="A30" s="35" t="str">
        <x:v>结果解释</x:v>
      </x:c>
      <x:c r="B30" s="35" t="str">
        <x:v>未确认参数保持空值</x:v>
      </x:c>
      <x:c r="C30" s="35" t="str">
        <x:v>说明</x:v>
      </x:c>
      <x:c r="D30" s="35" t="str">
        <x:v>本表不以假设填数得出已确定报价；成本高于可回收权益时暂停谈判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60" hidden="0" customWidth="1"/>
    <x:col min="4" max="4" width="65" hidden="0" customWidth="1"/>
    <x:col min="5" max="5" width="75" hidden="0" customWidth="1"/>
    <x:col min="6" max="6" width="60" hidden="0" customWidth="1"/>
  </x:cols>
  <x:sheetData>
    <x:row r="1" ht="32" customHeight="1">
      <x:c r="A1" s="39" t="str">
        <x:v>权利状态</x:v>
      </x:c>
      <x:c r="B1" s="39" t="str">
        <x:v>资源范围</x:v>
      </x:c>
      <x:c r="C1" s="39" t="str">
        <x:v>办理及期限前提</x:v>
      </x:c>
      <x:c r="D1" s="39" t="str">
        <x:v>截至基准日判断</x:v>
      </x:c>
      <x:c r="E1" s="39" t="str">
        <x:v>报价及交割限制</x:v>
      </x:c>
      <x:c r="F1" s="39" t="str">
        <x:v>依据</x:v>
      </x:c>
    </x:row>
    <x:row r="2" ht="40" customHeight="1">
      <x:c r="A2" s="35" t="str">
        <x:v>已确认未领受</x:v>
      </x:c>
      <x:c r="B2" s="35" t="str">
        <x:v>现金、股票、份额</x:v>
      </x:c>
      <x:c r="C2" s="35" t="str">
        <x:v>执行完毕起满三年，因债权人自身原因仍不领取</x:v>
      </x:c>
      <x:c r="D2" s="35" t="str">
        <x:v>2026年12月20日至22日待核起点，基准日未满；不能只按余额判断原因</x:v>
      </x:c>
      <x:c r="E2" s="35" t="str">
        <x:v>取得确认、未领原因、领受催告及当前保留记录；建议按最早可能日提前完成办理</x:v>
      </x:c>
      <x:c r="F2" s="35" t="str">
        <x:v>广田集团_重整计划_2023-11-29.pdf第41页；广田集团_执行与诉讼公告合订.pdf第1、5、10—12页</x:v>
      </x:c>
    </x:row>
    <x:row r="3" ht="40" customHeight="1">
      <x:c r="A3" s="35" t="str">
        <x:v>暂缓确认</x:v>
      </x:c>
      <x:c r="B3" s="35" t="str">
        <x:v>依申报预留，依最终确认清偿</x:v>
      </x:c>
      <x:c r="C3" s="35" t="str">
        <x:v>性质与金额以最终法院确认；清偿后的余量另处理</x:v>
      </x:c>
      <x:c r="D3" s="35" t="str">
        <x:v>计划未设同一三年总截止</x:v>
      </x:c>
      <x:c r="E3" s="35" t="str">
        <x:v>未确认前不得把全部预留量作为可交割权益</x:v>
      </x:c>
      <x:c r="F3" s="35" t="str">
        <x:v>广田集团_重整计划_2023-11-29.pdf第22、41页</x:v>
      </x:c>
    </x:row>
    <x:row r="4" ht="40" customHeight="1">
      <x:c r="A4" s="35" t="str">
        <x:v>未申报现金</x:v>
      </x:c>
      <x:c r="B4" s="35" t="str">
        <x:v>计划现金</x:v>
      </x:c>
      <x:c r="C4" s="35" t="str">
        <x:v>经确认后支付；计划记公司账户，监督报告记管理人账户</x:v>
      </x:c>
      <x:c r="D4" s="35" t="str">
        <x:v>不套用股票份额的三年条款</x:v>
      </x:c>
      <x:c r="E4" s="35" t="str">
        <x:v>取确认、资金保留及办理主体答复；不能仅由账户文字差异认定资金丢失</x:v>
      </x:c>
      <x:c r="F4" s="35" t="str">
        <x:v>广田集团_重整计划_2023-11-29.pdf第41页；广田集团_执行与诉讼公告合订.pdf第4—5页</x:v>
      </x:c>
    </x:row>
    <x:row r="5" ht="40" customHeight="1">
      <x:c r="A5" s="35" t="str">
        <x:v>未申报股票及份额</x:v>
      </x:c>
      <x:c r="B5" s="35" t="str">
        <x:v>相应预留股票及份额</x:v>
      </x:c>
      <x:c r="C5" s="35" t="str">
        <x:v>受理起满三年且仍未主张债权</x:v>
      </x:c>
      <x:c r="D5" s="35" t="str">
        <x:v>2026年7月20日文本期间已过；主张记录及法定行权另核</x:v>
      </x:c>
      <x:c r="E5" s="35" t="str">
        <x:v>无有效主张或保留书面支持时，不将有关资源纳入可付款范围</x:v>
      </x:c>
      <x:c r="F5" s="35" t="str">
        <x:v>广田集团_重整计划_2023-11-29.pdf第42页；企业重整法律及司法文件合订.pdf第11页</x:v>
      </x:c>
    </x:row>
    <x:row r="6" ht="40" customHeight="1">
      <x:c r="A6" s="35" t="str">
        <x:v>担保及劳务转普通</x:v>
      </x:c>
      <x:c r="B6" s="35" t="str">
        <x:v>按尚未优先受偿部分预留普通资源</x:v>
      </x:c>
      <x:c r="C6" s="35" t="str">
        <x:v>作出普通方案受偿选择后不再主张对应财产优先受偿</x:v>
      </x:c>
      <x:c r="D6" s="35" t="str">
        <x:v>是否选择、已优先受偿数、资源释放均需核明</x:v>
      </x:c>
      <x:c r="E6" s="35" t="str">
        <x:v>不能把优先份额与同一基础预留普通资源双重计价</x:v>
      </x:c>
      <x:c r="F6" s="35" t="str">
        <x:v>广田集团_重整计划_2023-11-29.pdf第40—42页</x:v>
      </x:c>
    </x:row>
    <x:row r="7" ht="32" customHeight="1">
      <x:c r="A7" s="35" t="str">
        <x:v>未签信托领受文本</x:v>
      </x:c>
      <x:c r="B7" s="35" t="str">
        <x:v>计入总份数、分配利益计提</x:v>
      </x:c>
      <x:c r="C7" s="35" t="str">
        <x:v>未签前暂不享有表决权；需签文本和办登记</x:v>
      </x:c>
      <x:c r="D7" s="35" t="str">
        <x:v>不同于债权消灭或零价值</x:v>
      </x:c>
      <x:c r="E7" s="35" t="str">
        <x:v>取得受托人确认书、计提明细、历史分配及注销记录后定范围</x:v>
      </x:c>
      <x:c r="F7" s="35" t="str">
        <x:v>广田集团_重整计划_2023-11-29.pdf第26、30、40页</x:v>
      </x:c>
    </x:row>
    <x:row r="8" ht="32" customHeight="1">
      <x:c r="A8" s="35" t="str">
        <x:v>宝嘉公开个案</x:v>
      </x:c>
      <x:c r="B8" s="35" t="str">
        <x:v>按普通方案条件测算</x:v>
      </x:c>
      <x:c r="C8" s="35" t="str">
        <x:v>2025年4月调解确认早于未申报文本期满</x:v>
      </x:c>
      <x:c r="D8" s="35" t="str">
        <x:v>不据此认定原分类、无历史受偿或有出售意愿</x:v>
      </x:c>
      <x:c r="E8" s="35" t="str">
        <x:v>仅作量级校验，非本次选定标的</x:v>
      </x:c>
      <x:c r="F8" s="35" t="str">
        <x:v>广田集团_执行与诉讼公告合订.pdf第20—21页</x:v>
      </x:c>
    </x:row>
  </x:sheetData>
  <x:pageMargins left="0.7" right="0.7" top="0.75" bottom="0.75" header="0.3" footer="0.3"/>
</x:worksheet>
</file>