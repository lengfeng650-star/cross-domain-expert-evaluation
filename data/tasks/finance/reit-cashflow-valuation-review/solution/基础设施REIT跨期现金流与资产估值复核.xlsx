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40d9a99da4a7d" 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议意见" sheetId="1" r:id="Rae352a9f653941c6"/>
    <x:sheet xmlns:r="http://schemas.openxmlformats.org/officeDocument/2006/relationships" name="主体期间" sheetId="2" r:id="R17ea629421bf4f9f"/>
    <x:sheet xmlns:r="http://schemas.openxmlformats.org/officeDocument/2006/relationships" name="现金流原表" sheetId="3" r:id="R591ee657e318431b"/>
    <x:sheet xmlns:r="http://schemas.openxmlformats.org/officeDocument/2006/relationships" name="现金复算" sheetId="4" r:id="Re373d6a8eac9464a"/>
    <x:sheet xmlns:r="http://schemas.openxmlformats.org/officeDocument/2006/relationships" name="跨期现金" sheetId="5" r:id="R2bc63c631c53403f"/>
    <x:sheet xmlns:r="http://schemas.openxmlformats.org/officeDocument/2006/relationships" name="分配调节原表" sheetId="6" r:id="R173ff9cf06db4f06"/>
    <x:sheet xmlns:r="http://schemas.openxmlformats.org/officeDocument/2006/relationships" name="可分配复算" sheetId="7" r:id="R66f38f86d9e743f3"/>
    <x:sheet xmlns:r="http://schemas.openxmlformats.org/officeDocument/2006/relationships" name="分派复核" sheetId="8" r:id="R4cac6041ee884050"/>
    <x:sheet xmlns:r="http://schemas.openxmlformats.org/officeDocument/2006/relationships" name="分派期间" sheetId="9" r:id="R56d3c37a0bdd49b9"/>
    <x:sheet xmlns:r="http://schemas.openxmlformats.org/officeDocument/2006/relationships" name="评估摘要" sheetId="10" r:id="Rc90b3205e8894c8e"/>
    <x:sheet xmlns:r="http://schemas.openxmlformats.org/officeDocument/2006/relationships" name="估值窗口" sheetId="11" r:id="R79073cc4afba4c5f"/>
    <x:sheet xmlns:r="http://schemas.openxmlformats.org/officeDocument/2006/relationships" name="估值复算" sheetId="12" r:id="R5242358f6f7e4ed9"/>
    <x:sheet xmlns:r="http://schemas.openxmlformats.org/officeDocument/2006/relationships" name="后续核验" sheetId="13" r:id="R03ae481266004691"/>
    <x:sheet xmlns:r="http://schemas.openxmlformats.org/officeDocument/2006/relationships" name="来源索引" sheetId="14" r:id="R1dd4b18932aa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"/>
    <x:numFmt numFmtId="201" formatCode="#,##0.00"/>
    <x:numFmt numFmtId="202" formatCode="0.0000"/>
    <x:numFmt numFmtId="203" formatCode="0.00%"/>
    <x:numFmt numFmtId="204" formatCode="#,##0"/>
  </x:numFmts>
  <x:fonts count="3">
    <x:font>
      <x:sz val="11"/>
      <x:name val="Carlito"/>
    </x:font>
    <x:font>
      <x:sz val="10"/>
      <x:name val="微软雅黑"/>
    </x:font>
    <x:font>
      <x:b/>
      <x:sz val="11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7a5599bd34e4d" /><Relationship Type="http://schemas.openxmlformats.org/officeDocument/2006/relationships/theme" Target="/xl/theme/theme1.xml" Id="R6130b2b72d774313" /><Relationship Type="http://schemas.openxmlformats.org/officeDocument/2006/relationships/sharedStrings" Target="/xl/sharedStrings.xml" Id="Rc5d745c8fd224791" /><Relationship Type="http://schemas.openxmlformats.org/officeDocument/2006/relationships/worksheet" Target="/xl/worksheets/sheet1.xml" Id="Rae352a9f653941c6" /><Relationship Type="http://schemas.openxmlformats.org/officeDocument/2006/relationships/worksheet" Target="/xl/worksheets/sheet2.xml" Id="R17ea629421bf4f9f" /><Relationship Type="http://schemas.openxmlformats.org/officeDocument/2006/relationships/worksheet" Target="/xl/worksheets/sheet3.xml" Id="R591ee657e318431b" /><Relationship Type="http://schemas.openxmlformats.org/officeDocument/2006/relationships/worksheet" Target="/xl/worksheets/sheet4.xml" Id="Re373d6a8eac9464a" /><Relationship Type="http://schemas.openxmlformats.org/officeDocument/2006/relationships/worksheet" Target="/xl/worksheets/sheet5.xml" Id="R2bc63c631c53403f" /><Relationship Type="http://schemas.openxmlformats.org/officeDocument/2006/relationships/worksheet" Target="/xl/worksheets/sheet6.xml" Id="R173ff9cf06db4f06" /><Relationship Type="http://schemas.openxmlformats.org/officeDocument/2006/relationships/worksheet" Target="/xl/worksheets/sheet7.xml" Id="R66f38f86d9e743f3" /><Relationship Type="http://schemas.openxmlformats.org/officeDocument/2006/relationships/worksheet" Target="/xl/worksheets/sheet8.xml" Id="R4cac6041ee884050" /><Relationship Type="http://schemas.openxmlformats.org/officeDocument/2006/relationships/worksheet" Target="/xl/worksheets/sheet9.xml" Id="R56d3c37a0bdd49b9" /><Relationship Type="http://schemas.openxmlformats.org/officeDocument/2006/relationships/worksheet" Target="/xl/worksheets/sheet10.xml" Id="Rc90b3205e8894c8e" /><Relationship Type="http://schemas.openxmlformats.org/officeDocument/2006/relationships/worksheet" Target="/xl/worksheets/sheet11.xml" Id="R79073cc4afba4c5f" /><Relationship Type="http://schemas.openxmlformats.org/officeDocument/2006/relationships/worksheet" Target="/xl/worksheets/sheet12.xml" Id="R5242358f6f7e4ed9" /><Relationship Type="http://schemas.openxmlformats.org/officeDocument/2006/relationships/worksheet" Target="/xl/worksheets/sheet13.xml" Id="R03ae481266004691" /><Relationship Type="http://schemas.openxmlformats.org/officeDocument/2006/relationships/worksheet" Target="/xl/worksheets/sheet14.xml" Id="R1dd4b18932aa4876" /></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0E2841"/>
      </ns0:dk2>
      <ns0:lt2>
        <ns0:srgbClr val="E8E8E8"/>
      </ns0:lt2>
      <ns0:accent1>
        <ns0:srgbClr val="156082"/>
      </ns0:accent1>
      <ns0:accent2>
        <ns0:srgbClr val="E97132"/>
      </ns0:accent2>
      <ns0:accent3>
        <ns0:srgbClr val="196B24"/>
      </ns0:accent3>
      <ns0:accent4>
        <ns0:srgbClr val="0F9ED5"/>
      </ns0:accent4>
      <ns0:accent5>
        <ns0:srgbClr val="A02B93"/>
      </ns0:accent5>
      <ns0:accent6>
        <ns0:srgbClr val="4EA72E"/>
      </ns0:accent6>
      <ns0:hlink>
        <ns0:srgbClr val="467886"/>
      </ns0:hlink>
      <ns0:folHlink>
        <ns0:srgbClr val="96607D"/>
      </ns0:folHlink>
    </ns0:clrScheme>
    <ns0:fontScheme name="Office">
      <ns0:majorFont>
        <ns0:latin typeface="Calibri Light"/>
        <ns0:ea typeface="Calibri Light"/>
        <ns0:cs typeface="Calibri Light"/>
      </ns0:majorFont>
      <ns0:minorFont>
        <ns0:latin typeface="Calibri"/>
        <ns0:ea typeface="Calibri"/>
        <ns0:cs typeface="Calibri"/>
      </ns0:minorFont>
    </ns0:fontScheme>
    <ns0:fmtScheme name="Office">
      <ns0:fillStyleLst>
        <ns0:solidFill>
          <ns0:schemeClr val="phClr"/>
        </ns0:solidFill>
        <ns0:gradFill>
          <ns0:gsLst>
            <ns0:gs pos="0">
              <ns0:schemeClr val="phClr">
                <ns0:tint val="67000"/>
                <ns0:lumMod val="110000"/>
                <ns0:satMod val="105000"/>
              </ns0:schemeClr>
            </ns0:gs>
            <ns0:gs pos="50000">
              <ns0:schemeClr val="phClr">
                <ns0:tint val="73000"/>
                <ns0:lumMod val="105000"/>
                <ns0:satMod val="103000"/>
              </ns0:schemeClr>
            </ns0:gs>
            <ns0:gs pos="100000">
              <ns0:schemeClr val="phClr">
                <ns0:tint val="81000"/>
                <ns0:lumMod val="105000"/>
                <ns0:satMod val="109000"/>
              </ns0:schemeClr>
            </ns0:gs>
          </ns0:gsLst>
          <ns0:lin ang="5400000" scaled="0"/>
        </ns0:gradFill>
        <ns0:gradFill>
          <ns0:gsLst>
            <ns0:gs pos="0">
              <ns0:schemeClr val="phClr">
                <ns0:tint val="94000"/>
                <ns0:lumMod val="102000"/>
                <ns0:satMod val="103000"/>
              </ns0:schemeClr>
            </ns0:gs>
            <ns0:gs pos="50000">
              <ns0:schemeClr val="phClr">
                <ns0:shade val="100000"/>
                <ns0:lumMod val="100000"/>
                <ns0:satMod val="110000"/>
              </ns0:schemeClr>
            </ns0:gs>
            <ns0:gs pos="100000">
              <ns0:schemeClr val="phClr">
                <ns0:shade val="78000"/>
                <ns0:lumMod val="99000"/>
                <ns0:satMod val="120000"/>
              </ns0:schemeClr>
            </ns0:gs>
          </ns0:gsLst>
          <ns0:lin ang="5400000" scaled="0"/>
        </ns0:gradFill>
      </ns0:fillStyleLst>
      <ns0:lnStyleLst>
        <ns0:ln w="12700">
          <ns0:solidFill>
            <ns0:schemeClr val="phClr"/>
          </ns0:solidFill>
          <ns0:prstDash val="solid"/>
        </ns0:ln>
        <ns0:ln w="19050">
          <ns0:solidFill>
            <ns0:schemeClr val="phClr"/>
          </ns0:solidFill>
          <ns0:prstDash val="solid"/>
        </ns0:ln>
        <ns0:ln w="25400">
          <ns0:solidFill>
            <ns0:schemeClr val="phClr"/>
          </ns0:solidFill>
          <ns0:prstDash val="solid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>
          <ns0:gsLst>
            <ns0:gs pos="0">
              <ns0:schemeClr val="phClr">
                <ns0:tint val="93000"/>
                <ns0:shade val="98000"/>
                <ns0:lumMod val="102000"/>
                <ns0:satMod val="150000"/>
              </ns0:schemeClr>
            </ns0:gs>
            <ns0:gs pos="50000">
              <ns0:schemeClr val="phClr">
                <ns0:tint val="98000"/>
                <ns0:shade val="90000"/>
                <ns0:lumMod val="103000"/>
                <ns0:satMod val="130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</ns0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0" hidden="0" customWidth="1"/>
    <x:col min="3" max="3" width="100" hidden="0" customWidth="1"/>
    <x:col min="4" max="4" width="90" hidden="0" customWidth="1"/>
  </x:cols>
  <x:sheetData>
    <x:row r="1" ht="36" customHeight="1">
      <x:c r="A1" s="6" t="str">
        <x:v>事项或产品</x:v>
      </x:c>
      <x:c r="B1" s="6" t="str">
        <x:v>财务观察</x:v>
      </x:c>
      <x:c r="C1" s="6" t="str">
        <x:v>核验安排</x:v>
      </x:c>
      <x:c r="D1" s="6" t="str">
        <x:v>依据</x:v>
      </x:c>
    </x:row>
    <x:row r="2" ht="102" customHeight="1">
      <x:c r="A2" s="4" t="str">
        <x:v>华夏北京保障房REIT</x:v>
      </x:c>
      <x:c r="B2" s="4" t="str">
        <x:v>2024年度合并经营现金净额52,437,240.58元，基金个别经营现金净额53,148,494.23元，可供分配53,848,604.28元；2025上半年合并经营现金净额27,937,580.30元，基金个别经营现金净额-913,262,434.07元，可供分配29,106,693.39元。2025扩募946,199,997.98元、新项目2025-06-12后入合并；基金个别取得基础设施投资列经营活动，合并取得子公司列投资活动，不能把单体负经营现金认作租赁项目经营现金枯竭。可供分配29,106,693.39元含融资、取得项目及预留调整，不等于扩募余款全部可自由分派；0.90%/1.82%分派率受期末市值与新项目短纳入期间影响。</x:v>
      </x:c>
      <x:c r="C2" s="4" t="str">
        <x:v>保持研究观察；财务证据分别核阅，补当期经营、支出和分派覆盖期后再议，不形成交易或支付授权</x:v>
      </x:c>
      <x:c r="D2" s="4" t="str">
        <x:v>华夏北京保障房REIT_2024年报_20250331.pdf，PDF第46—49页现金流量表，第9—10页3.3.2.1，第96—97页收益分配附注；华夏北京保障房REIT_2025中报_20250830.pdf，PDF第51—53页现金流量表，第11—12页3.3.2.1，第95页收益分配附注；2025中报PDF第9—10页新增项目范围；第51—53页资金分类</x:v>
      </x:c>
    </x:row>
    <x:row r="3" ht="102" customHeight="1">
      <x:c r="A3" s="4" t="str">
        <x:v>华夏华润商业REIT</x:v>
      </x:c>
      <x:c r="B3" s="4" t="str">
        <x:v>2024年度合并经营现金净额335,729,132.44元，基金个别经营现金净额-6,666,771,297.52元，可供分配315,345,871.32元；2025上半年合并经营现金净额204,374,784.26元，基金个别经营现金净额183,668,034.07元，可供分配179,426,567.80元。2024基金02-07生效而2025中报项目上年同期运营范围自02-08；2025可供分配同比30.13%不能全归经营改善。2024主要发行和项目取得/偿债调整与经常运营分开。年末评估81.50亿元为资产价值；十年估值窗口不含全部收益期限，与NAV或市场价值不可直接等同。</x:v>
      </x:c>
      <x:c r="C3" s="4" t="str">
        <x:v>保持研究观察；财务证据分别核阅，补当期经营、支出和分派覆盖期后再议，不形成交易或支付授权</x:v>
      </x:c>
      <x:c r="D3" s="4" t="str">
        <x:v>华夏华润商业REIT_2024年报_20250331.pdf，PDF第45—47页现金流量表，第10—10页3.3.2.1，第101—102页收益分配附注；华夏华润商业REIT_2025中报_20250830.pdf，PDF第39—41页现金流量表，第8—9页3.3.2.1，第78页收益分配附注；2025中报PDF第9页3.3.2.2、第15—19页项目期间；华润原评估PDF第21—24页；华夏华润商业REIT_2024年末评估_20250331.pdf，PDF第21—24页估值方法、价值时点、假设及使用限制</x:v>
      </x:c>
    </x:row>
    <x:row r="4" ht="102" customHeight="1">
      <x:c r="A4" s="4" t="str">
        <x:v>华夏合肥高新REIT</x:v>
      </x:c>
      <x:c r="B4" s="4" t="str">
        <x:v>2024年度合并经营现金净额53,327,857.45元，基金个别经营现金净额96,143,681.86元，可供分配75,653,930.59元；2025上半年合并经营现金净额18,111,622.30元，基金个别经营现金净额33,359,653.67元，可供分配34,212,543.11元。实际2024支付95,171,545.28元大于2024可供分配75,653,930.59元，2025H1支付36,028,853.55元也大于当期34,212,543.11元，需按支付覆盖收益期核，不据同期间比值判断超额违规。两估价对象合计13.22亿元，十年现金表也是两对象合计。上半年应收账款及坏账准备影响收缴质量；补租户回款证据。</x:v>
      </x:c>
      <x:c r="C4" s="4" t="str">
        <x:v>保持研究观察；财务证据分别核阅，补当期经营、支出和分派覆盖期后再议，不形成交易或支付授权</x:v>
      </x:c>
      <x:c r="D4" s="4" t="str">
        <x:v>华夏合肥高新REIT_2024年报_20250331.pdf，PDF第43—45页现金流量表，第9—10页3.3.2.1，第88—89页收益分配附注；华夏合肥高新REIT_2025中报_20250830.pdf，PDF第37—39页现金流量表，第8—9页3.3.2.1，第71页收益分配附注；2025中报PDF第9—10页3.9减值说明、第47—48页10.5.7.7；合肥原评估PDF第21—24页；华夏合肥高新REIT_2024年末评估_20250331.pdf，PDF第21—24页估值方法、价值时点、假设及使用限制</x:v>
      </x:c>
    </x:row>
    <x:row r="5" ht="87" customHeight="1">
      <x:c r="A5" s="4" t="str">
        <x:v>华夏越秀高速REIT</x:v>
      </x:c>
      <x:c r="B5" s="4" t="str">
        <x:v>2024年度合并经营现金净额165,693,064.71元，基金个别经营现金净额142,964,413.63元，可供分配127,957,759.81元；2025上半年合并经营现金净额87,429,865.72元，基金个别经营现金净额19,090,481.77元，可供分配55,538,466.85元。可供分配2025H1同比下降15.19%，报告解释资本性支出、已付所得税、借款偿还及通行费收入等共同影响；不能仅用收费收入下降概括。折旧摊销加回不等于无维护资本支出或可永续利润，收费公路经营权期限与债务、维护支出分别核查。</x:v>
      </x:c>
      <x:c r="C5" s="4" t="str">
        <x:v>保持研究观察；财务证据分别核阅，补当期经营、支出和分派覆盖期后再议，不形成交易或支付授权</x:v>
      </x:c>
      <x:c r="D5" s="4" t="str">
        <x:v>华夏越秀高速REIT_2024年报_20250331.pdf，PDF第41—43页现金流量表，第10—10页3.3.2.1，第82—83页收益分配附注；华夏越秀高速REIT_2025中报_20250830.pdf，PDF第35—37页现金流量表，第8—9页3.3.2.1，第67—68页收益分配附注；2025中报PDF第9页3.3.2.2可供分配变化</x:v>
      </x:c>
    </x:row>
    <x:row r="6" ht="42" customHeight="1">
      <x:c r="A6" s="4" t="str">
        <x:v>分派时点</x:v>
      </x:c>
      <x:c r="B6" s="4" t="str">
        <x:v>实际支付期间与收益覆盖期间分开；2025中报所载7—8月期后分派公告属于报告期后披露，不加进截至06-30已付金额；附注未列收益覆盖期的，另核公告和台账。同一期支付/可供比率只作核阅，不能直接作年度执行率。</x:v>
      </x:c>
      <x:c r="C6" s="4" t="str">
        <x:v>取分派公告与登记结算、银行支付和收益所属期台账，核闭同笔不重复计算</x:v>
      </x:c>
      <x:c r="D6" s="4" t="str">
        <x:v>八报告收益分配和期后事项附注</x:v>
      </x:c>
    </x:row>
    <x:row r="7" ht="42" customHeight="1">
      <x:c r="A7" s="4" t="str">
        <x:v>评估使用</x:v>
      </x:c>
      <x:c r="B7" s="4" t="str">
        <x:v>两原评估PDF第24页明示运营净收益是价值时点估值测算过程数据，不能直接作为预测数据或用于可分配收益计算，也不是经营预算和收益保证。</x:v>
      </x:c>
      <x:c r="C7" s="4" t="str">
        <x:v>十年年末局部敏感性仅为给定研究统计；评估对象、全部收益期与基金资产负债另核</x:v>
      </x:c>
      <x:c r="D7" s="4" t="str">
        <x:v>两原评估PDF第22—24页</x:v>
      </x:c>
    </x:row>
    <x:row r="8" ht="42" customHeight="1">
      <x:c r="A8" s="4" t="str">
        <x:v>研究结论</x:v>
      </x:c>
      <x:c r="B8" s="4" t="str">
        <x:v>现有材料能拆解历史财务现金和分配基础，并核阅两项目年末估值假设。不能由资产估值、现金总额或期末单位额直接给机构投资收益或未来分派作保证。</x:v>
      </x:c>
      <x:c r="C8" s="4" t="str">
        <x:v>依产品各自收缴/车流、资本支出、期限及融资事实安排专项核验</x:v>
      </x:c>
      <x:c r="D8" s="4" t="str">
        <x:v>十份原公开报告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4" hidden="0" customWidth="1"/>
    <x:col min="3" max="3" width="18" hidden="0" customWidth="1"/>
    <x:col min="4" max="4" width="22" hidden="0" customWidth="1"/>
    <x:col min="5" max="5" width="22" hidden="0" customWidth="1"/>
    <x:col min="6" max="6" width="46" hidden="0" customWidth="1"/>
    <x:col min="7" max="7" width="105" hidden="0" customWidth="1"/>
    <x:col min="8" max="8" width="95" hidden="0" customWidth="1"/>
  </x:cols>
  <x:sheetData>
    <x:row r="1" ht="36" customHeight="1">
      <x:c r="A1" s="6" t="str">
        <x:v>产品</x:v>
      </x:c>
      <x:c r="B1" s="6" t="str">
        <x:v>正式名称</x:v>
      </x:c>
      <x:c r="C1" s="6" t="str">
        <x:v>代码</x:v>
      </x:c>
      <x:c r="D1" s="6" t="str">
        <x:v>基金本期起点</x:v>
      </x:c>
      <x:c r="E1" s="6" t="str">
        <x:v>本期终点</x:v>
      </x:c>
      <x:c r="F1" s="6" t="str">
        <x:v>原表比较期间</x:v>
      </x:c>
      <x:c r="G1" s="6" t="str">
        <x:v>范围说明</x:v>
      </x:c>
      <x:c r="H1" s="6" t="str">
        <x:v>出处</x:v>
      </x:c>
    </x:row>
    <x:row r="2" ht="42" customHeight="1">
      <x:c r="A2" s="4" t="str">
        <x:v>华夏北京保障房REIT</x:v>
      </x:c>
      <x:c r="B2" s="4" t="str">
        <x:v>华夏北京保障房中心租赁住房封闭式基础设施证券投资基金</x:v>
      </x:c>
      <x:c r="C2" s="7" t="str">
        <x:v>508068</x:v>
      </x:c>
      <x:c r="D2" s="4" t="str">
        <x:v>2024-01-01</x:v>
      </x:c>
      <x:c r="E2" s="4" t="str">
        <x:v>2024-12-31</x:v>
      </x:c>
      <x:c r="F2" s="4" t="str">
        <x:v>2023年度</x:v>
      </x:c>
      <x:c r="G2" s="4" t="str">
        <x:v>按基金报表实际期间；北京新增项目于2025-06-12后纳入合并</x:v>
      </x:c>
      <x:c r="H2" s="4" t="str">
        <x:v>华夏北京保障房REIT_2024年报_20250331.pdf，§1、§2及现金流量表；华润2025中报PDF第15—19页；北京2025中报PDF第9—10页</x:v>
      </x:c>
    </x:row>
    <x:row r="3" ht="42" customHeight="1">
      <x:c r="A3" s="4" t="str">
        <x:v>华夏北京保障房REIT</x:v>
      </x:c>
      <x:c r="B3" s="4" t="str">
        <x:v>华夏北京保障房中心租赁住房封闭式基础设施证券投资基金</x:v>
      </x:c>
      <x:c r="C3" s="7" t="str">
        <x:v>508068</x:v>
      </x:c>
      <x:c r="D3" s="4" t="str">
        <x:v>2025-01-01</x:v>
      </x:c>
      <x:c r="E3" s="4" t="str">
        <x:v>2025-06-30</x:v>
      </x:c>
      <x:c r="F3" s="4" t="str">
        <x:v>2024-01-01至2024-06-30</x:v>
      </x:c>
      <x:c r="G3" s="4" t="str">
        <x:v>按基金报表实际期间；北京新增项目于2025-06-12后纳入合并</x:v>
      </x:c>
      <x:c r="H3" s="4" t="str">
        <x:v>华夏北京保障房REIT_2025中报_20250830.pdf，§1、§2及现金流量表；华润2025中报PDF第15—19页；北京2025中报PDF第9—10页</x:v>
      </x:c>
    </x:row>
    <x:row r="4" ht="42" customHeight="1">
      <x:c r="A4" s="4" t="str">
        <x:v>华夏华润商业REIT</x:v>
      </x:c>
      <x:c r="B4" s="4" t="str">
        <x:v>华夏华润商业资产封闭式基础设施证券投资基金</x:v>
      </x:c>
      <x:c r="C4" s="7" t="str">
        <x:v>180601</x:v>
      </x:c>
      <x:c r="D4" s="4" t="str">
        <x:v>2024-02-07</x:v>
      </x:c>
      <x:c r="E4" s="4" t="str">
        <x:v>2024-12-31</x:v>
      </x:c>
      <x:c r="F4" s="4" t="str">
        <x:v>未列比较期间</x:v>
      </x:c>
      <x:c r="G4" s="4" t="str">
        <x:v>华润项目2024H1运营可比期按2025中报为02-08至06-30；基金标题及各表原口径分别保留</x:v>
      </x:c>
      <x:c r="H4" s="4" t="str">
        <x:v>华夏华润商业REIT_2024年报_20250331.pdf，§1、§2及现金流量表；华润2025中报PDF第15—19页；北京2025中报PDF第9—10页</x:v>
      </x:c>
    </x:row>
    <x:row r="5" ht="42" customHeight="1">
      <x:c r="A5" s="4" t="str">
        <x:v>华夏华润商业REIT</x:v>
      </x:c>
      <x:c r="B5" s="4" t="str">
        <x:v>华夏华润商业资产封闭式基础设施证券投资基金</x:v>
      </x:c>
      <x:c r="C5" s="7" t="str">
        <x:v>180601</x:v>
      </x:c>
      <x:c r="D5" s="4" t="str">
        <x:v>2025-01-01</x:v>
      </x:c>
      <x:c r="E5" s="4" t="str">
        <x:v>2025-06-30</x:v>
      </x:c>
      <x:c r="F5" s="4" t="str">
        <x:v>2024-02-07至2024-06-30（基金报表）</x:v>
      </x:c>
      <x:c r="G5" s="4" t="str">
        <x:v>华润项目2024H1运营可比期按2025中报为02-08至06-30；基金标题及各表原口径分别保留</x:v>
      </x:c>
      <x:c r="H5" s="4" t="str">
        <x:v>华夏华润商业REIT_2025中报_20250830.pdf，§1、§2及现金流量表；华润2025中报PDF第15—19页；北京2025中报PDF第9—10页</x:v>
      </x:c>
    </x:row>
    <x:row r="6" ht="42" customHeight="1">
      <x:c r="A6" s="4" t="str">
        <x:v>华夏合肥高新REIT</x:v>
      </x:c>
      <x:c r="B6" s="4" t="str">
        <x:v>华夏合肥高新创新产业园封闭式基础设施证券投资基金</x:v>
      </x:c>
      <x:c r="C6" s="7" t="str">
        <x:v>180102</x:v>
      </x:c>
      <x:c r="D6" s="4" t="str">
        <x:v>2024-01-01</x:v>
      </x:c>
      <x:c r="E6" s="4" t="str">
        <x:v>2024-12-31</x:v>
      </x:c>
      <x:c r="F6" s="4" t="str">
        <x:v>2023年度</x:v>
      </x:c>
      <x:c r="G6" s="4" t="str">
        <x:v>原基金与项目范围分别使用</x:v>
      </x:c>
      <x:c r="H6" s="4" t="str">
        <x:v>华夏合肥高新REIT_2024年报_20250331.pdf，§1、§2及现金流量表；华润2025中报PDF第15—19页；北京2025中报PDF第9—10页</x:v>
      </x:c>
    </x:row>
    <x:row r="7" ht="42" customHeight="1">
      <x:c r="A7" s="4" t="str">
        <x:v>华夏合肥高新REIT</x:v>
      </x:c>
      <x:c r="B7" s="4" t="str">
        <x:v>华夏合肥高新创新产业园封闭式基础设施证券投资基金</x:v>
      </x:c>
      <x:c r="C7" s="7" t="str">
        <x:v>180102</x:v>
      </x:c>
      <x:c r="D7" s="4" t="str">
        <x:v>2025-01-01</x:v>
      </x:c>
      <x:c r="E7" s="4" t="str">
        <x:v>2025-06-30</x:v>
      </x:c>
      <x:c r="F7" s="4" t="str">
        <x:v>2024-01-01至2024-06-30</x:v>
      </x:c>
      <x:c r="G7" s="4" t="str">
        <x:v>原基金与项目范围分别使用</x:v>
      </x:c>
      <x:c r="H7" s="4" t="str">
        <x:v>华夏合肥高新REIT_2025中报_20250830.pdf，§1、§2及现金流量表；华润2025中报PDF第15—19页；北京2025中报PDF第9—10页</x:v>
      </x:c>
    </x:row>
    <x:row r="8" ht="42" customHeight="1">
      <x:c r="A8" s="4" t="str">
        <x:v>华夏越秀高速REIT</x:v>
      </x:c>
      <x:c r="B8" s="4" t="str">
        <x:v>华夏越秀高速公路封闭式基础设施证券投资基金</x:v>
      </x:c>
      <x:c r="C8" s="7" t="str">
        <x:v>180202</x:v>
      </x:c>
      <x:c r="D8" s="4" t="str">
        <x:v>2024-01-01</x:v>
      </x:c>
      <x:c r="E8" s="4" t="str">
        <x:v>2024-12-31</x:v>
      </x:c>
      <x:c r="F8" s="4" t="str">
        <x:v>2023年度</x:v>
      </x:c>
      <x:c r="G8" s="4" t="str">
        <x:v>原基金与项目范围分别使用</x:v>
      </x:c>
      <x:c r="H8" s="4" t="str">
        <x:v>华夏越秀高速REIT_2024年报_20250331.pdf，§1、§2及现金流量表；华润2025中报PDF第15—19页；北京2025中报PDF第9—10页</x:v>
      </x:c>
    </x:row>
    <x:row r="9" ht="42" customHeight="1">
      <x:c r="A9" s="4" t="str">
        <x:v>华夏越秀高速REIT</x:v>
      </x:c>
      <x:c r="B9" s="4" t="str">
        <x:v>华夏越秀高速公路封闭式基础设施证券投资基金</x:v>
      </x:c>
      <x:c r="C9" s="7" t="str">
        <x:v>180202</x:v>
      </x:c>
      <x:c r="D9" s="4" t="str">
        <x:v>2025-01-01</x:v>
      </x:c>
      <x:c r="E9" s="4" t="str">
        <x:v>2025-06-30</x:v>
      </x:c>
      <x:c r="F9" s="4" t="str">
        <x:v>2024-01-01至2024-06-30</x:v>
      </x:c>
      <x:c r="G9" s="4" t="str">
        <x:v>原基金与项目范围分别使用</x:v>
      </x:c>
      <x:c r="H9" s="4" t="str">
        <x:v>华夏越秀高速REIT_2025中报_20250830.pdf，§1、§2及现金流量表；华润2025中报PDF第15—19页；北京2025中报PDF第9—10页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75" hidden="0" customWidth="1"/>
    <x:col min="6" max="6" width="30" hidden="0" customWidth="1"/>
    <x:col min="7" max="7" width="30" hidden="0" customWidth="1"/>
    <x:col min="8" max="8" width="28" hidden="0" customWidth="1"/>
    <x:col min="9" max="9" width="30" hidden="0" customWidth="1"/>
    <x:col min="10" max="10" width="85" hidden="0" customWidth="1"/>
  </x:cols>
  <x:sheetData>
    <x:row r="1" ht="36" customHeight="1">
      <x:c r="A1" s="6" t="str">
        <x:v>产品</x:v>
      </x:c>
      <x:c r="B1" s="6" t="str">
        <x:v>报告期</x:v>
      </x:c>
      <x:c r="C1" s="6" t="str">
        <x:v>主体</x:v>
      </x:c>
      <x:c r="D1" s="6" t="str">
        <x:v>原记录序</x:v>
      </x:c>
      <x:c r="E1" s="6" t="str">
        <x:v>项目</x:v>
      </x:c>
      <x:c r="F1" s="6" t="str">
        <x:v>本期金额（元）</x:v>
      </x:c>
      <x:c r="G1" s="6" t="str">
        <x:v>原表可比金额（元）</x:v>
      </x:c>
      <x:c r="H1" s="6" t="str">
        <x:v>本期原显示</x:v>
      </x:c>
      <x:c r="I1" s="6" t="str">
        <x:v>比较原显示</x:v>
      </x:c>
      <x:c r="J1" s="6" t="str">
        <x:v>出处</x:v>
      </x:c>
    </x:row>
    <x:row r="2" ht="42" customHeight="1">
      <x:c r="A2" s="4" t="str">
        <x:v>华夏北京保障房REIT</x:v>
      </x:c>
      <x:c r="B2" s="4" t="str">
        <x:v>2024年度</x:v>
      </x:c>
      <x:c r="C2" s="4" t="str">
        <x:v>合并</x:v>
      </x:c>
      <x:c r="D2" s="4" t="n">
        <x:v>1</x:v>
      </x:c>
      <x:c r="E2" s="4" t="str">
        <x:v>1.销售商品、提供劳务收到的现金</x:v>
      </x:c>
      <x:c r="F2" s="8" t="n">
        <x:v>70390275.95</x:v>
      </x:c>
      <x:c r="G2" s="8" t="n">
        <x:v>71631922.36</x:v>
      </x:c>
      <x:c r="H2" s="4" t="str">
        <x:v>70,390,275.95</x:v>
      </x:c>
      <x:c r="I2" s="4" t="str">
        <x:v>71,631,922.36</x:v>
      </x:c>
      <x:c r="J2" s="4" t="str">
        <x:v>华夏北京保障房REIT_2024年报_20250331.pdf，PDF第46页，现金流量表</x:v>
      </x:c>
    </x:row>
    <x:row r="3" ht="42" customHeight="1">
      <x:c r="A3" s="4" t="str">
        <x:v>华夏北京保障房REIT</x:v>
      </x:c>
      <x:c r="B3" s="4" t="str">
        <x:v>2024年度</x:v>
      </x:c>
      <x:c r="C3" s="4" t="str">
        <x:v>合并</x:v>
      </x:c>
      <x:c r="D3" s="4" t="n">
        <x:v>2</x:v>
      </x:c>
      <x:c r="E3" s="4" t="str">
        <x:v>2.处置证券投资收到的现金净额</x:v>
      </x:c>
      <x:c r="F3" s="8" t="n">
        <x:v>0</x:v>
      </x:c>
      <x:c r="G3" s="8" t="n">
        <x:v>0</x:v>
      </x:c>
      <x:c r="H3" s="4" t="str">
        <x:v>-</x:v>
      </x:c>
      <x:c r="I3" s="4" t="str">
        <x:v>-</x:v>
      </x:c>
      <x:c r="J3" s="4" t="str">
        <x:v>华夏北京保障房REIT_2024年报_20250331.pdf，PDF第46页，现金流量表</x:v>
      </x:c>
    </x:row>
    <x:row r="4" ht="42" customHeight="1">
      <x:c r="A4" s="4" t="str">
        <x:v>华夏北京保障房REIT</x:v>
      </x:c>
      <x:c r="B4" s="4" t="str">
        <x:v>2024年度</x:v>
      </x:c>
      <x:c r="C4" s="4" t="str">
        <x:v>合并</x:v>
      </x:c>
      <x:c r="D4" s="4" t="n">
        <x:v>3</x:v>
      </x:c>
      <x:c r="E4" s="4" t="str">
        <x:v>3.买入返售金融资产净减少额</x:v>
      </x:c>
      <x:c r="F4" s="8" t="n">
        <x:v>0</x:v>
      </x:c>
      <x:c r="G4" s="8" t="n">
        <x:v>0</x:v>
      </x:c>
      <x:c r="H4" s="4" t="str">
        <x:v>-</x:v>
      </x:c>
      <x:c r="I4" s="4" t="str">
        <x:v>-</x:v>
      </x:c>
      <x:c r="J4" s="4" t="str">
        <x:v>华夏北京保障房REIT_2024年报_20250331.pdf，PDF第46页，现金流量表</x:v>
      </x:c>
    </x:row>
    <x:row r="5" ht="42" customHeight="1">
      <x:c r="A5" s="4" t="str">
        <x:v>华夏北京保障房REIT</x:v>
      </x:c>
      <x:c r="B5" s="4" t="str">
        <x:v>2024年度</x:v>
      </x:c>
      <x:c r="C5" s="4" t="str">
        <x:v>合并</x:v>
      </x:c>
      <x:c r="D5" s="4" t="n">
        <x:v>4</x:v>
      </x:c>
      <x:c r="E5" s="4" t="str">
        <x:v>4.卖出回购金融资产款净增加额</x:v>
      </x:c>
      <x:c r="F5" s="8" t="n">
        <x:v>0</x:v>
      </x:c>
      <x:c r="G5" s="8" t="n">
        <x:v>0</x:v>
      </x:c>
      <x:c r="H5" s="4" t="str">
        <x:v>-</x:v>
      </x:c>
      <x:c r="I5" s="4" t="str">
        <x:v>-</x:v>
      </x:c>
      <x:c r="J5" s="4" t="str">
        <x:v>华夏北京保障房REIT_2024年报_20250331.pdf，PDF第47页，现金流量表</x:v>
      </x:c>
    </x:row>
    <x:row r="6" ht="42" customHeight="1">
      <x:c r="A6" s="4" t="str">
        <x:v>华夏北京保障房REIT</x:v>
      </x:c>
      <x:c r="B6" s="4" t="str">
        <x:v>2024年度</x:v>
      </x:c>
      <x:c r="C6" s="4" t="str">
        <x:v>合并</x:v>
      </x:c>
      <x:c r="D6" s="4" t="n">
        <x:v>5</x:v>
      </x:c>
      <x:c r="E6" s="4" t="str">
        <x:v>5.取得利息收入收到的现金</x:v>
      </x:c>
      <x:c r="F6" s="8" t="n">
        <x:v>158146.29</x:v>
      </x:c>
      <x:c r="G6" s="8" t="n">
        <x:v>434191.82</x:v>
      </x:c>
      <x:c r="H6" s="4" t="str">
        <x:v>158,146.29</x:v>
      </x:c>
      <x:c r="I6" s="4" t="str">
        <x:v>434,191.82</x:v>
      </x:c>
      <x:c r="J6" s="4" t="str">
        <x:v>华夏北京保障房REIT_2024年报_20250331.pdf，PDF第47页，现金流量表</x:v>
      </x:c>
    </x:row>
    <x:row r="7" ht="42" customHeight="1">
      <x:c r="A7" s="4" t="str">
        <x:v>华夏北京保障房REIT</x:v>
      </x:c>
      <x:c r="B7" s="4" t="str">
        <x:v>2024年度</x:v>
      </x:c>
      <x:c r="C7" s="4" t="str">
        <x:v>合并</x:v>
      </x:c>
      <x:c r="D7" s="4" t="n">
        <x:v>6</x:v>
      </x:c>
      <x:c r="E7" s="4" t="str">
        <x:v>6.收到的税费返还</x:v>
      </x:c>
      <x:c r="F7" s="8" t="n">
        <x:v>0</x:v>
      </x:c>
      <x:c r="G7" s="8" t="n">
        <x:v>0</x:v>
      </x:c>
      <x:c r="H7" s="4" t="str">
        <x:v>-</x:v>
      </x:c>
      <x:c r="I7" s="4" t="str">
        <x:v>-</x:v>
      </x:c>
      <x:c r="J7" s="4" t="str">
        <x:v>华夏北京保障房REIT_2024年报_20250331.pdf，PDF第47页，现金流量表</x:v>
      </x:c>
    </x:row>
    <x:row r="8" ht="42" customHeight="1">
      <x:c r="A8" s="4" t="str">
        <x:v>华夏北京保障房REIT</x:v>
      </x:c>
      <x:c r="B8" s="4" t="str">
        <x:v>2024年度</x:v>
      </x:c>
      <x:c r="C8" s="4" t="str">
        <x:v>合并</x:v>
      </x:c>
      <x:c r="D8" s="4" t="n">
        <x:v>7</x:v>
      </x:c>
      <x:c r="E8" s="4" t="str">
        <x:v>7.收到其他与经营活动有关的现金</x:v>
      </x:c>
      <x:c r="F8" s="8" t="n">
        <x:v>1111816.76</x:v>
      </x:c>
      <x:c r="G8" s="8" t="n">
        <x:v>840948.06</x:v>
      </x:c>
      <x:c r="H8" s="4" t="str">
        <x:v>1,111,816.76</x:v>
      </x:c>
      <x:c r="I8" s="4" t="str">
        <x:v>840,948.06</x:v>
      </x:c>
      <x:c r="J8" s="4" t="str">
        <x:v>华夏北京保障房REIT_2024年报_20250331.pdf，PDF第47页，现金流量表</x:v>
      </x:c>
    </x:row>
    <x:row r="9" ht="42" customHeight="1">
      <x:c r="A9" s="4" t="str">
        <x:v>华夏北京保障房REIT</x:v>
      </x:c>
      <x:c r="B9" s="4" t="str">
        <x:v>2024年度</x:v>
      </x:c>
      <x:c r="C9" s="4" t="str">
        <x:v>合并</x:v>
      </x:c>
      <x:c r="D9" s="4" t="n">
        <x:v>8</x:v>
      </x:c>
      <x:c r="E9" s="4" t="str">
        <x:v>经营活动现金流入小计</x:v>
      </x:c>
      <x:c r="F9" s="8" t="n">
        <x:v>71660239</x:v>
      </x:c>
      <x:c r="G9" s="8" t="n">
        <x:v>72907062.24</x:v>
      </x:c>
      <x:c r="H9" s="4" t="str">
        <x:v>71,660,239.00</x:v>
      </x:c>
      <x:c r="I9" s="4" t="str">
        <x:v>72,907,062.24</x:v>
      </x:c>
      <x:c r="J9" s="4" t="str">
        <x:v>华夏北京保障房REIT_2024年报_20250331.pdf，PDF第47页，现金流量表</x:v>
      </x:c>
    </x:row>
    <x:row r="10" ht="42" customHeight="1">
      <x:c r="A10" s="4" t="str">
        <x:v>华夏北京保障房REIT</x:v>
      </x:c>
      <x:c r="B10" s="4" t="str">
        <x:v>2024年度</x:v>
      </x:c>
      <x:c r="C10" s="4" t="str">
        <x:v>合并</x:v>
      </x:c>
      <x:c r="D10" s="4" t="n">
        <x:v>9</x:v>
      </x:c>
      <x:c r="E10" s="4" t="str">
        <x:v>8.购买商品、接受劳务支付的现金</x:v>
      </x:c>
      <x:c r="F10" s="8" t="n">
        <x:v>15327947.8</x:v>
      </x:c>
      <x:c r="G10" s="8" t="n">
        <x:v>13487406.64</x:v>
      </x:c>
      <x:c r="H10" s="4" t="str">
        <x:v>15,327,947.80</x:v>
      </x:c>
      <x:c r="I10" s="4" t="str">
        <x:v>13,487,406.64</x:v>
      </x:c>
      <x:c r="J10" s="4" t="str">
        <x:v>华夏北京保障房REIT_2024年报_20250331.pdf，PDF第47页，现金流量表</x:v>
      </x:c>
    </x:row>
    <x:row r="11" ht="42" customHeight="1">
      <x:c r="A11" s="4" t="str">
        <x:v>华夏北京保障房REIT</x:v>
      </x:c>
      <x:c r="B11" s="4" t="str">
        <x:v>2024年度</x:v>
      </x:c>
      <x:c r="C11" s="4" t="str">
        <x:v>合并</x:v>
      </x:c>
      <x:c r="D11" s="4" t="n">
        <x:v>10</x:v>
      </x:c>
      <x:c r="E11" s="4" t="str">
        <x:v>9.取得证券投资支付的现金净额</x:v>
      </x:c>
      <x:c r="F11" s="8" t="n">
        <x:v>0</x:v>
      </x:c>
      <x:c r="G11" s="8" t="n">
        <x:v>0</x:v>
      </x:c>
      <x:c r="H11" s="4" t="str">
        <x:v>-</x:v>
      </x:c>
      <x:c r="I11" s="4" t="str">
        <x:v>-</x:v>
      </x:c>
      <x:c r="J11" s="4" t="str">
        <x:v>华夏北京保障房REIT_2024年报_20250331.pdf，PDF第47页，现金流量表</x:v>
      </x:c>
    </x:row>
    <x:row r="12" ht="42" customHeight="1">
      <x:c r="A12" s="4" t="str">
        <x:v>华夏北京保障房REIT</x:v>
      </x:c>
      <x:c r="B12" s="4" t="str">
        <x:v>2024年度</x:v>
      </x:c>
      <x:c r="C12" s="4" t="str">
        <x:v>合并</x:v>
      </x:c>
      <x:c r="D12" s="4" t="n">
        <x:v>11</x:v>
      </x:c>
      <x:c r="E12" s="4" t="str">
        <x:v>10.买入返售金融资产净增加额</x:v>
      </x:c>
      <x:c r="F12" s="8" t="n">
        <x:v>0</x:v>
      </x:c>
      <x:c r="G12" s="8" t="n">
        <x:v>0</x:v>
      </x:c>
      <x:c r="H12" s="4" t="str">
        <x:v>-</x:v>
      </x:c>
      <x:c r="I12" s="4" t="str">
        <x:v>-</x:v>
      </x:c>
      <x:c r="J12" s="4" t="str">
        <x:v>华夏北京保障房REIT_2024年报_20250331.pdf，PDF第47页，现金流量表</x:v>
      </x:c>
    </x:row>
    <x:row r="13" ht="42" customHeight="1">
      <x:c r="A13" s="4" t="str">
        <x:v>华夏北京保障房REIT</x:v>
      </x:c>
      <x:c r="B13" s="4" t="str">
        <x:v>2024年度</x:v>
      </x:c>
      <x:c r="C13" s="4" t="str">
        <x:v>合并</x:v>
      </x:c>
      <x:c r="D13" s="4" t="n">
        <x:v>12</x:v>
      </x:c>
      <x:c r="E13" s="4" t="str">
        <x:v>11.卖出回购金融资产款净减少额</x:v>
      </x:c>
      <x:c r="F13" s="8" t="n">
        <x:v>0</x:v>
      </x:c>
      <x:c r="G13" s="8" t="n">
        <x:v>0</x:v>
      </x:c>
      <x:c r="H13" s="4" t="str">
        <x:v>-</x:v>
      </x:c>
      <x:c r="I13" s="4" t="str">
        <x:v>-</x:v>
      </x:c>
      <x:c r="J13" s="4" t="str">
        <x:v>华夏北京保障房REIT_2024年报_20250331.pdf，PDF第47页，现金流量表</x:v>
      </x:c>
    </x:row>
    <x:row r="14" ht="42" customHeight="1">
      <x:c r="A14" s="4" t="str">
        <x:v>华夏北京保障房REIT</x:v>
      </x:c>
      <x:c r="B14" s="4" t="str">
        <x:v>2024年度</x:v>
      </x:c>
      <x:c r="C14" s="4" t="str">
        <x:v>合并</x:v>
      </x:c>
      <x:c r="D14" s="4" t="n">
        <x:v>13</x:v>
      </x:c>
      <x:c r="E14" s="4" t="str">
        <x:v>12.支付给职工以及为职工支付的现金</x:v>
      </x:c>
      <x:c r="F14" s="8" t="n">
        <x:v>0</x:v>
      </x:c>
      <x:c r="G14" s="8" t="n">
        <x:v>320515.95</x:v>
      </x:c>
      <x:c r="H14" s="4" t="str">
        <x:v>-</x:v>
      </x:c>
      <x:c r="I14" s="4" t="str">
        <x:v>320,515.95</x:v>
      </x:c>
      <x:c r="J14" s="4" t="str">
        <x:v>华夏北京保障房REIT_2024年报_20250331.pdf，PDF第47页，现金流量表</x:v>
      </x:c>
    </x:row>
    <x:row r="15" ht="42" customHeight="1">
      <x:c r="A15" s="4" t="str">
        <x:v>华夏北京保障房REIT</x:v>
      </x:c>
      <x:c r="B15" s="4" t="str">
        <x:v>2024年度</x:v>
      </x:c>
      <x:c r="C15" s="4" t="str">
        <x:v>合并</x:v>
      </x:c>
      <x:c r="D15" s="4" t="n">
        <x:v>14</x:v>
      </x:c>
      <x:c r="E15" s="4" t="str">
        <x:v>13.支付的各项税费</x:v>
      </x:c>
      <x:c r="F15" s="8" t="n">
        <x:v>1870723.18</x:v>
      </x:c>
      <x:c r="G15" s="8" t="n">
        <x:v>1597305.35</x:v>
      </x:c>
      <x:c r="H15" s="4" t="str">
        <x:v>1,870,723.18</x:v>
      </x:c>
      <x:c r="I15" s="4" t="str">
        <x:v>1,597,305.35</x:v>
      </x:c>
      <x:c r="J15" s="4" t="str">
        <x:v>华夏北京保障房REIT_2024年报_20250331.pdf，PDF第47页，现金流量表</x:v>
      </x:c>
    </x:row>
    <x:row r="16" ht="42" customHeight="1">
      <x:c r="A16" s="4" t="str">
        <x:v>华夏北京保障房REIT</x:v>
      </x:c>
      <x:c r="B16" s="4" t="str">
        <x:v>2024年度</x:v>
      </x:c>
      <x:c r="C16" s="4" t="str">
        <x:v>合并</x:v>
      </x:c>
      <x:c r="D16" s="4" t="n">
        <x:v>15</x:v>
      </x:c>
      <x:c r="E16" s="4" t="str">
        <x:v>14.支付其他与经营活动有关的现金</x:v>
      </x:c>
      <x:c r="F16" s="8" t="n">
        <x:v>2024327.44</x:v>
      </x:c>
      <x:c r="G16" s="8" t="n">
        <x:v>3325106.77</x:v>
      </x:c>
      <x:c r="H16" s="4" t="str">
        <x:v>2,024,327.44</x:v>
      </x:c>
      <x:c r="I16" s="4" t="str">
        <x:v>3,325,106.77</x:v>
      </x:c>
      <x:c r="J16" s="4" t="str">
        <x:v>华夏北京保障房REIT_2024年报_20250331.pdf，PDF第47页，现金流量表</x:v>
      </x:c>
    </x:row>
    <x:row r="17" ht="42" customHeight="1">
      <x:c r="A17" s="4" t="str">
        <x:v>华夏北京保障房REIT</x:v>
      </x:c>
      <x:c r="B17" s="4" t="str">
        <x:v>2024年度</x:v>
      </x:c>
      <x:c r="C17" s="4" t="str">
        <x:v>合并</x:v>
      </x:c>
      <x:c r="D17" s="4" t="n">
        <x:v>16</x:v>
      </x:c>
      <x:c r="E17" s="4" t="str">
        <x:v>经营活动现金流出小计</x:v>
      </x:c>
      <x:c r="F17" s="8" t="n">
        <x:v>19222998.42</x:v>
      </x:c>
      <x:c r="G17" s="8" t="n">
        <x:v>18730334.71</x:v>
      </x:c>
      <x:c r="H17" s="4" t="str">
        <x:v>19,222,998.42</x:v>
      </x:c>
      <x:c r="I17" s="4" t="str">
        <x:v>18,730,334.71</x:v>
      </x:c>
      <x:c r="J17" s="4" t="str">
        <x:v>华夏北京保障房REIT_2024年报_20250331.pdf，PDF第47页，现金流量表</x:v>
      </x:c>
    </x:row>
    <x:row r="18" ht="42" customHeight="1">
      <x:c r="A18" s="4" t="str">
        <x:v>华夏北京保障房REIT</x:v>
      </x:c>
      <x:c r="B18" s="4" t="str">
        <x:v>2024年度</x:v>
      </x:c>
      <x:c r="C18" s="4" t="str">
        <x:v>合并</x:v>
      </x:c>
      <x:c r="D18" s="4" t="n">
        <x:v>17</x:v>
      </x:c>
      <x:c r="E18" s="4" t="str">
        <x:v>经营活动产生的现金流量净额</x:v>
      </x:c>
      <x:c r="F18" s="8" t="n">
        <x:v>52437240.58</x:v>
      </x:c>
      <x:c r="G18" s="8" t="n">
        <x:v>54176727.53</x:v>
      </x:c>
      <x:c r="H18" s="4" t="str">
        <x:v>52,437,240.58</x:v>
      </x:c>
      <x:c r="I18" s="4" t="str">
        <x:v>54,176,727.53</x:v>
      </x:c>
      <x:c r="J18" s="4" t="str">
        <x:v>华夏北京保障房REIT_2024年报_20250331.pdf，PDF第47页，现金流量表</x:v>
      </x:c>
    </x:row>
    <x:row r="19" ht="42" customHeight="1">
      <x:c r="A19" s="4" t="str">
        <x:v>华夏北京保障房REIT</x:v>
      </x:c>
      <x:c r="B19" s="4" t="str">
        <x:v>2024年度</x:v>
      </x:c>
      <x:c r="C19" s="4" t="str">
        <x:v>合并</x:v>
      </x:c>
      <x:c r="D19" s="4" t="n">
        <x:v>18</x:v>
      </x:c>
      <x:c r="E19" s="4" t="str">
        <x:v>15.处置固定资产、无形资产和其他长期资产收到的现金净额</x:v>
      </x:c>
      <x:c r="F19" s="8" t="n">
        <x:v>0</x:v>
      </x:c>
      <x:c r="G19" s="8" t="n">
        <x:v>0</x:v>
      </x:c>
      <x:c r="H19" s="4" t="str">
        <x:v>-</x:v>
      </x:c>
      <x:c r="I19" s="4" t="str">
        <x:v>-</x:v>
      </x:c>
      <x:c r="J19" s="4" t="str">
        <x:v>华夏北京保障房REIT_2024年报_20250331.pdf，PDF第47页，现金流量表</x:v>
      </x:c>
    </x:row>
    <x:row r="20" ht="42" customHeight="1">
      <x:c r="A20" s="4" t="str">
        <x:v>华夏北京保障房REIT</x:v>
      </x:c>
      <x:c r="B20" s="4" t="str">
        <x:v>2024年度</x:v>
      </x:c>
      <x:c r="C20" s="4" t="str">
        <x:v>合并</x:v>
      </x:c>
      <x:c r="D20" s="4" t="n">
        <x:v>19</x:v>
      </x:c>
      <x:c r="E20" s="4" t="str">
        <x:v>16.处置子公司及其他营业单位收到的现金净额</x:v>
      </x:c>
      <x:c r="F20" s="8" t="n">
        <x:v>0</x:v>
      </x:c>
      <x:c r="G20" s="8" t="n">
        <x:v>0</x:v>
      </x:c>
      <x:c r="H20" s="4" t="str">
        <x:v>-</x:v>
      </x:c>
      <x:c r="I20" s="4" t="str">
        <x:v>-</x:v>
      </x:c>
      <x:c r="J20" s="4" t="str">
        <x:v>华夏北京保障房REIT_2024年报_20250331.pdf，PDF第47页，现金流量表</x:v>
      </x:c>
    </x:row>
    <x:row r="21" ht="42" customHeight="1">
      <x:c r="A21" s="4" t="str">
        <x:v>华夏北京保障房REIT</x:v>
      </x:c>
      <x:c r="B21" s="4" t="str">
        <x:v>2024年度</x:v>
      </x:c>
      <x:c r="C21" s="4" t="str">
        <x:v>合并</x:v>
      </x:c>
      <x:c r="D21" s="4" t="n">
        <x:v>20</x:v>
      </x:c>
      <x:c r="E21" s="4" t="str">
        <x:v>17.收到其他与投资活动有关的现金</x:v>
      </x:c>
      <x:c r="F21" s="8" t="n">
        <x:v>36868479.73</x:v>
      </x:c>
      <x:c r="G21" s="8" t="n">
        <x:v>7000000</x:v>
      </x:c>
      <x:c r="H21" s="4" t="str">
        <x:v>36,868,479.73</x:v>
      </x:c>
      <x:c r="I21" s="4" t="str">
        <x:v>7,000,000.00</x:v>
      </x:c>
      <x:c r="J21" s="4" t="str">
        <x:v>华夏北京保障房REIT_2024年报_20250331.pdf，PDF第47页，现金流量表</x:v>
      </x:c>
    </x:row>
    <x:row r="22" ht="42" customHeight="1">
      <x:c r="A22" s="4" t="str">
        <x:v>华夏北京保障房REIT</x:v>
      </x:c>
      <x:c r="B22" s="4" t="str">
        <x:v>2024年度</x:v>
      </x:c>
      <x:c r="C22" s="4" t="str">
        <x:v>合并</x:v>
      </x:c>
      <x:c r="D22" s="4" t="n">
        <x:v>21</x:v>
      </x:c>
      <x:c r="E22" s="4" t="str">
        <x:v>投资活动现金流入小计</x:v>
      </x:c>
      <x:c r="F22" s="8" t="n">
        <x:v>36868479.73</x:v>
      </x:c>
      <x:c r="G22" s="8" t="n">
        <x:v>7000000</x:v>
      </x:c>
      <x:c r="H22" s="4" t="str">
        <x:v>36,868,479.73</x:v>
      </x:c>
      <x:c r="I22" s="4" t="str">
        <x:v>7,000,000.00</x:v>
      </x:c>
      <x:c r="J22" s="4" t="str">
        <x:v>华夏北京保障房REIT_2024年报_20250331.pdf，PDF第47页，现金流量表</x:v>
      </x:c>
    </x:row>
    <x:row r="23" ht="42" customHeight="1">
      <x:c r="A23" s="4" t="str">
        <x:v>华夏北京保障房REIT</x:v>
      </x:c>
      <x:c r="B23" s="4" t="str">
        <x:v>2024年度</x:v>
      </x:c>
      <x:c r="C23" s="4" t="str">
        <x:v>合并</x:v>
      </x:c>
      <x:c r="D23" s="4" t="n">
        <x:v>22</x:v>
      </x:c>
      <x:c r="E23" s="4" t="str">
        <x:v>18.购建固定资产、无形资产和其他长期资产支付的现金</x:v>
      </x:c>
      <x:c r="F23" s="8" t="n">
        <x:v>403554.86</x:v>
      </x:c>
      <x:c r="G23" s="8" t="n">
        <x:v>0</x:v>
      </x:c>
      <x:c r="H23" s="4" t="str">
        <x:v>403,554.86</x:v>
      </x:c>
      <x:c r="I23" s="4" t="str">
        <x:v>-</x:v>
      </x:c>
      <x:c r="J23" s="4" t="str">
        <x:v>华夏北京保障房REIT_2024年报_20250331.pdf，PDF第47页，现金流量表</x:v>
      </x:c>
    </x:row>
    <x:row r="24" ht="42" customHeight="1">
      <x:c r="A24" s="4" t="str">
        <x:v>华夏北京保障房REIT</x:v>
      </x:c>
      <x:c r="B24" s="4" t="str">
        <x:v>2024年度</x:v>
      </x:c>
      <x:c r="C24" s="4" t="str">
        <x:v>合并</x:v>
      </x:c>
      <x:c r="D24" s="4" t="n">
        <x:v>23</x:v>
      </x:c>
      <x:c r="E24" s="4" t="str">
        <x:v>19.取得子公司及其他营业单位支付的现金净额</x:v>
      </x:c>
      <x:c r="F24" s="8" t="n">
        <x:v>0</x:v>
      </x:c>
      <x:c r="G24" s="8" t="n">
        <x:v>0</x:v>
      </x:c>
      <x:c r="H24" s="4" t="str">
        <x:v>-</x:v>
      </x:c>
      <x:c r="I24" s="4" t="str">
        <x:v>-</x:v>
      </x:c>
      <x:c r="J24" s="4" t="str">
        <x:v>华夏北京保障房REIT_2024年报_20250331.pdf，PDF第47页，现金流量表</x:v>
      </x:c>
    </x:row>
    <x:row r="25" ht="42" customHeight="1">
      <x:c r="A25" s="4" t="str">
        <x:v>华夏北京保障房REIT</x:v>
      </x:c>
      <x:c r="B25" s="4" t="str">
        <x:v>2024年度</x:v>
      </x:c>
      <x:c r="C25" s="4" t="str">
        <x:v>合并</x:v>
      </x:c>
      <x:c r="D25" s="4" t="n">
        <x:v>24</x:v>
      </x:c>
      <x:c r="E25" s="4" t="str">
        <x:v>20.支付其他与投资活动有关的现金</x:v>
      </x:c>
      <x:c r="F25" s="8" t="n">
        <x:v>45000000</x:v>
      </x:c>
      <x:c r="G25" s="8" t="n">
        <x:v>42000000</x:v>
      </x:c>
      <x:c r="H25" s="4" t="str">
        <x:v>45,000,000.00</x:v>
      </x:c>
      <x:c r="I25" s="4" t="str">
        <x:v>42,000,000.00</x:v>
      </x:c>
      <x:c r="J25" s="4" t="str">
        <x:v>华夏北京保障房REIT_2024年报_20250331.pdf，PDF第47页，现金流量表</x:v>
      </x:c>
    </x:row>
    <x:row r="26" ht="42" customHeight="1">
      <x:c r="A26" s="4" t="str">
        <x:v>华夏北京保障房REIT</x:v>
      </x:c>
      <x:c r="B26" s="4" t="str">
        <x:v>2024年度</x:v>
      </x:c>
      <x:c r="C26" s="4" t="str">
        <x:v>合并</x:v>
      </x:c>
      <x:c r="D26" s="4" t="n">
        <x:v>25</x:v>
      </x:c>
      <x:c r="E26" s="4" t="str">
        <x:v>投资活动现金流出小计</x:v>
      </x:c>
      <x:c r="F26" s="8" t="n">
        <x:v>45403554.86</x:v>
      </x:c>
      <x:c r="G26" s="8" t="n">
        <x:v>42000000</x:v>
      </x:c>
      <x:c r="H26" s="4" t="str">
        <x:v>45,403,554.86</x:v>
      </x:c>
      <x:c r="I26" s="4" t="str">
        <x:v>42,000,000.00</x:v>
      </x:c>
      <x:c r="J26" s="4" t="str">
        <x:v>华夏北京保障房REIT_2024年报_20250331.pdf，PDF第47页，现金流量表</x:v>
      </x:c>
    </x:row>
    <x:row r="27" ht="42" customHeight="1">
      <x:c r="A27" s="4" t="str">
        <x:v>华夏北京保障房REIT</x:v>
      </x:c>
      <x:c r="B27" s="4" t="str">
        <x:v>2024年度</x:v>
      </x:c>
      <x:c r="C27" s="4" t="str">
        <x:v>合并</x:v>
      </x:c>
      <x:c r="D27" s="4" t="n">
        <x:v>26</x:v>
      </x:c>
      <x:c r="E27" s="4" t="str">
        <x:v>投资活动产生的现金流量净额</x:v>
      </x:c>
      <x:c r="F27" s="8" t="n">
        <x:v>-8535075.13</x:v>
      </x:c>
      <x:c r="G27" s="8" t="n">
        <x:v>-35000000</x:v>
      </x:c>
      <x:c r="H27" s="4" t="str">
        <x:v>-8,535,075.13</x:v>
      </x:c>
      <x:c r="I27" s="4" t="str">
        <x:v>-35,000,000.00</x:v>
      </x:c>
      <x:c r="J27" s="4" t="str">
        <x:v>华夏北京保障房REIT_2024年报_20250331.pdf，PDF第47页，现金流量表</x:v>
      </x:c>
    </x:row>
    <x:row r="28" ht="42" customHeight="1">
      <x:c r="A28" s="4" t="str">
        <x:v>华夏北京保障房REIT</x:v>
      </x:c>
      <x:c r="B28" s="4" t="str">
        <x:v>2024年度</x:v>
      </x:c>
      <x:c r="C28" s="4" t="str">
        <x:v>合并</x:v>
      </x:c>
      <x:c r="D28" s="4" t="n">
        <x:v>27</x:v>
      </x:c>
      <x:c r="E28" s="4" t="str">
        <x:v>21.认购/申购收到的现金</x:v>
      </x:c>
      <x:c r="F28" s="8" t="n">
        <x:v>0</x:v>
      </x:c>
      <x:c r="G28" s="8" t="n">
        <x:v>0</x:v>
      </x:c>
      <x:c r="H28" s="4" t="str">
        <x:v>-</x:v>
      </x:c>
      <x:c r="I28" s="4" t="str">
        <x:v>-</x:v>
      </x:c>
      <x:c r="J28" s="4" t="str">
        <x:v>华夏北京保障房REIT_2024年报_20250331.pdf，PDF第47页，现金流量表</x:v>
      </x:c>
    </x:row>
    <x:row r="29" ht="42" customHeight="1">
      <x:c r="A29" s="4" t="str">
        <x:v>华夏北京保障房REIT</x:v>
      </x:c>
      <x:c r="B29" s="4" t="str">
        <x:v>2024年度</x:v>
      </x:c>
      <x:c r="C29" s="4" t="str">
        <x:v>合并</x:v>
      </x:c>
      <x:c r="D29" s="4" t="n">
        <x:v>28</x:v>
      </x:c>
      <x:c r="E29" s="4" t="str">
        <x:v>22.取得借款收到的现金</x:v>
      </x:c>
      <x:c r="F29" s="8" t="n">
        <x:v>0</x:v>
      </x:c>
      <x:c r="G29" s="8" t="n">
        <x:v>0</x:v>
      </x:c>
      <x:c r="H29" s="4" t="str">
        <x:v>-</x:v>
      </x:c>
      <x:c r="I29" s="4" t="str">
        <x:v>-</x:v>
      </x:c>
      <x:c r="J29" s="4" t="str">
        <x:v>华夏北京保障房REIT_2024年报_20250331.pdf，PDF第47页，现金流量表</x:v>
      </x:c>
    </x:row>
    <x:row r="30" ht="42" customHeight="1">
      <x:c r="A30" s="4" t="str">
        <x:v>华夏北京保障房REIT</x:v>
      </x:c>
      <x:c r="B30" s="4" t="str">
        <x:v>2024年度</x:v>
      </x:c>
      <x:c r="C30" s="4" t="str">
        <x:v>合并</x:v>
      </x:c>
      <x:c r="D30" s="4" t="n">
        <x:v>29</x:v>
      </x:c>
      <x:c r="E30" s="4" t="str">
        <x:v>23.收到其他与筹资活动有关的现金</x:v>
      </x:c>
      <x:c r="F30" s="8" t="n">
        <x:v>0</x:v>
      </x:c>
      <x:c r="G30" s="8" t="n">
        <x:v>0</x:v>
      </x:c>
      <x:c r="H30" s="4" t="str">
        <x:v>-</x:v>
      </x:c>
      <x:c r="I30" s="4" t="str">
        <x:v>-</x:v>
      </x:c>
      <x:c r="J30" s="4" t="str">
        <x:v>华夏北京保障房REIT_2024年报_20250331.pdf，PDF第47页，现金流量表</x:v>
      </x:c>
    </x:row>
    <x:row r="31" ht="42" customHeight="1">
      <x:c r="A31" s="4" t="str">
        <x:v>华夏北京保障房REIT</x:v>
      </x:c>
      <x:c r="B31" s="4" t="str">
        <x:v>2024年度</x:v>
      </x:c>
      <x:c r="C31" s="4" t="str">
        <x:v>合并</x:v>
      </x:c>
      <x:c r="D31" s="4" t="n">
        <x:v>30</x:v>
      </x:c>
      <x:c r="E31" s="4" t="str">
        <x:v>筹资活动现金流入小计</x:v>
      </x:c>
      <x:c r="F31" s="8" t="n">
        <x:v>0</x:v>
      </x:c>
      <x:c r="G31" s="8" t="n">
        <x:v>0</x:v>
      </x:c>
      <x:c r="H31" s="4" t="str">
        <x:v>-</x:v>
      </x:c>
      <x:c r="I31" s="4" t="str">
        <x:v>-</x:v>
      </x:c>
      <x:c r="J31" s="4" t="str">
        <x:v>华夏北京保障房REIT_2024年报_20250331.pdf，PDF第47页，现金流量表</x:v>
      </x:c>
    </x:row>
    <x:row r="32" ht="42" customHeight="1">
      <x:c r="A32" s="4" t="str">
        <x:v>华夏北京保障房REIT</x:v>
      </x:c>
      <x:c r="B32" s="4" t="str">
        <x:v>2024年度</x:v>
      </x:c>
      <x:c r="C32" s="4" t="str">
        <x:v>合并</x:v>
      </x:c>
      <x:c r="D32" s="4" t="n">
        <x:v>31</x:v>
      </x:c>
      <x:c r="E32" s="4" t="str">
        <x:v>24.赎回支付的现金</x:v>
      </x:c>
      <x:c r="F32" s="8" t="n">
        <x:v>0</x:v>
      </x:c>
      <x:c r="G32" s="8" t="n">
        <x:v>0</x:v>
      </x:c>
      <x:c r="H32" s="4" t="str">
        <x:v>-</x:v>
      </x:c>
      <x:c r="I32" s="4" t="str">
        <x:v>-</x:v>
      </x:c>
      <x:c r="J32" s="4" t="str">
        <x:v>华夏北京保障房REIT_2024年报_20250331.pdf，PDF第47页，现金流量表</x:v>
      </x:c>
    </x:row>
    <x:row r="33" ht="42" customHeight="1">
      <x:c r="A33" s="4" t="str">
        <x:v>华夏北京保障房REIT</x:v>
      </x:c>
      <x:c r="B33" s="4" t="str">
        <x:v>2024年度</x:v>
      </x:c>
      <x:c r="C33" s="4" t="str">
        <x:v>合并</x:v>
      </x:c>
      <x:c r="D33" s="4" t="n">
        <x:v>32</x:v>
      </x:c>
      <x:c r="E33" s="4" t="str">
        <x:v>25.偿还借款支付的现金</x:v>
      </x:c>
      <x:c r="F33" s="8" t="n">
        <x:v>0</x:v>
      </x:c>
      <x:c r="G33" s="8" t="n">
        <x:v>0</x:v>
      </x:c>
      <x:c r="H33" s="4" t="str">
        <x:v>-</x:v>
      </x:c>
      <x:c r="I33" s="4" t="str">
        <x:v>-</x:v>
      </x:c>
      <x:c r="J33" s="4" t="str">
        <x:v>华夏北京保障房REIT_2024年报_20250331.pdf，PDF第47页，现金流量表</x:v>
      </x:c>
    </x:row>
    <x:row r="34" ht="42" customHeight="1">
      <x:c r="A34" s="4" t="str">
        <x:v>华夏北京保障房REIT</x:v>
      </x:c>
      <x:c r="B34" s="4" t="str">
        <x:v>2024年度</x:v>
      </x:c>
      <x:c r="C34" s="4" t="str">
        <x:v>合并</x:v>
      </x:c>
      <x:c r="D34" s="4" t="n">
        <x:v>33</x:v>
      </x:c>
      <x:c r="E34" s="4" t="str">
        <x:v>26.偿付利息支付的现金</x:v>
      </x:c>
      <x:c r="F34" s="8" t="n">
        <x:v>0</x:v>
      </x:c>
      <x:c r="G34" s="8" t="n">
        <x:v>0</x:v>
      </x:c>
      <x:c r="H34" s="4" t="str">
        <x:v>-</x:v>
      </x:c>
      <x:c r="I34" s="4" t="str">
        <x:v>-</x:v>
      </x:c>
      <x:c r="J34" s="4" t="str">
        <x:v>华夏北京保障房REIT_2024年报_20250331.pdf，PDF第47页，现金流量表</x:v>
      </x:c>
    </x:row>
    <x:row r="35" ht="42" customHeight="1">
      <x:c r="A35" s="4" t="str">
        <x:v>华夏北京保障房REIT</x:v>
      </x:c>
      <x:c r="B35" s="4" t="str">
        <x:v>2024年度</x:v>
      </x:c>
      <x:c r="C35" s="4" t="str">
        <x:v>合并</x:v>
      </x:c>
      <x:c r="D35" s="4" t="n">
        <x:v>34</x:v>
      </x:c>
      <x:c r="E35" s="4" t="str">
        <x:v>27.分配支付的现金</x:v>
      </x:c>
      <x:c r="F35" s="8" t="n">
        <x:v>54360053.69</x:v>
      </x:c>
      <x:c r="G35" s="8" t="n">
        <x:v>46645084.66</x:v>
      </x:c>
      <x:c r="H35" s="4" t="str">
        <x:v>54,360,053.69</x:v>
      </x:c>
      <x:c r="I35" s="4" t="str">
        <x:v>46,645,084.66</x:v>
      </x:c>
      <x:c r="J35" s="4" t="str">
        <x:v>华夏北京保障房REIT_2024年报_20250331.pdf，PDF第47页，现金流量表</x:v>
      </x:c>
    </x:row>
    <x:row r="36" ht="42" customHeight="1">
      <x:c r="A36" s="4" t="str">
        <x:v>华夏北京保障房REIT</x:v>
      </x:c>
      <x:c r="B36" s="4" t="str">
        <x:v>2024年度</x:v>
      </x:c>
      <x:c r="C36" s="4" t="str">
        <x:v>合并</x:v>
      </x:c>
      <x:c r="D36" s="4" t="n">
        <x:v>35</x:v>
      </x:c>
      <x:c r="E36" s="4" t="str">
        <x:v>28.支付其他与筹资活动有关的现金</x:v>
      </x:c>
      <x:c r="F36" s="8" t="n">
        <x:v>0</x:v>
      </x:c>
      <x:c r="G36" s="8" t="n">
        <x:v>0</x:v>
      </x:c>
      <x:c r="H36" s="4" t="str">
        <x:v>-</x:v>
      </x:c>
      <x:c r="I36" s="4" t="str">
        <x:v>-</x:v>
      </x:c>
      <x:c r="J36" s="4" t="str">
        <x:v>华夏北京保障房REIT_2024年报_20250331.pdf，PDF第47页，现金流量表</x:v>
      </x:c>
    </x:row>
    <x:row r="37" ht="42" customHeight="1">
      <x:c r="A37" s="4" t="str">
        <x:v>华夏北京保障房REIT</x:v>
      </x:c>
      <x:c r="B37" s="4" t="str">
        <x:v>2024年度</x:v>
      </x:c>
      <x:c r="C37" s="4" t="str">
        <x:v>合并</x:v>
      </x:c>
      <x:c r="D37" s="4" t="n">
        <x:v>36</x:v>
      </x:c>
      <x:c r="E37" s="4" t="str">
        <x:v>筹资活动现金流出小计</x:v>
      </x:c>
      <x:c r="F37" s="8" t="n">
        <x:v>54360053.69</x:v>
      </x:c>
      <x:c r="G37" s="8" t="n">
        <x:v>46645084.66</x:v>
      </x:c>
      <x:c r="H37" s="4" t="str">
        <x:v>54,360,053.69</x:v>
      </x:c>
      <x:c r="I37" s="4" t="str">
        <x:v>46,645,084.66</x:v>
      </x:c>
      <x:c r="J37" s="4" t="str">
        <x:v>华夏北京保障房REIT_2024年报_20250331.pdf，PDF第47页，现金流量表</x:v>
      </x:c>
    </x:row>
    <x:row r="38" ht="42" customHeight="1">
      <x:c r="A38" s="4" t="str">
        <x:v>华夏北京保障房REIT</x:v>
      </x:c>
      <x:c r="B38" s="4" t="str">
        <x:v>2024年度</x:v>
      </x:c>
      <x:c r="C38" s="4" t="str">
        <x:v>合并</x:v>
      </x:c>
      <x:c r="D38" s="4" t="n">
        <x:v>37</x:v>
      </x:c>
      <x:c r="E38" s="4" t="str">
        <x:v>筹资活动产生的现金流量净额</x:v>
      </x:c>
      <x:c r="F38" s="8" t="n">
        <x:v>-54360053.69</x:v>
      </x:c>
      <x:c r="G38" s="8" t="n">
        <x:v>-46645084.66</x:v>
      </x:c>
      <x:c r="H38" s="4" t="str">
        <x:v>-54,360,053.69</x:v>
      </x:c>
      <x:c r="I38" s="4" t="str">
        <x:v>-46,645,084.66</x:v>
      </x:c>
      <x:c r="J38" s="4" t="str">
        <x:v>华夏北京保障房REIT_2024年报_20250331.pdf，PDF第47页，现金流量表</x:v>
      </x:c>
    </x:row>
    <x:row r="39" ht="42" customHeight="1">
      <x:c r="A39" s="4" t="str">
        <x:v>华夏北京保障房REIT</x:v>
      </x:c>
      <x:c r="B39" s="4" t="str">
        <x:v>2024年度</x:v>
      </x:c>
      <x:c r="C39" s="4" t="str">
        <x:v>合并</x:v>
      </x:c>
      <x:c r="D39" s="4" t="n">
        <x:v>38</x:v>
      </x:c>
      <x:c r="E39" s="4" t="str">
        <x:v>四、汇率变动对现金及现金等价物的影响</x:v>
      </x:c>
      <x:c r="F39" s="8" t="n">
        <x:v>0</x:v>
      </x:c>
      <x:c r="G39" s="8" t="n">
        <x:v>0</x:v>
      </x:c>
      <x:c r="H39" s="4" t="str">
        <x:v>-</x:v>
      </x:c>
      <x:c r="I39" s="4" t="str">
        <x:v>-</x:v>
      </x:c>
      <x:c r="J39" s="4" t="str">
        <x:v>华夏北京保障房REIT_2024年报_20250331.pdf，PDF第47页，现金流量表</x:v>
      </x:c>
    </x:row>
    <x:row r="40" ht="42" customHeight="1">
      <x:c r="A40" s="4" t="str">
        <x:v>华夏北京保障房REIT</x:v>
      </x:c>
      <x:c r="B40" s="4" t="str">
        <x:v>2024年度</x:v>
      </x:c>
      <x:c r="C40" s="4" t="str">
        <x:v>合并</x:v>
      </x:c>
      <x:c r="D40" s="4" t="n">
        <x:v>39</x:v>
      </x:c>
      <x:c r="E40" s="4" t="str">
        <x:v>五、现金及现金等价物净增加额</x:v>
      </x:c>
      <x:c r="F40" s="8" t="n">
        <x:v>-10457888.24</x:v>
      </x:c>
      <x:c r="G40" s="8" t="n">
        <x:v>-27468357.13</x:v>
      </x:c>
      <x:c r="H40" s="4" t="str">
        <x:v>-10,457,888.24</x:v>
      </x:c>
      <x:c r="I40" s="4" t="str">
        <x:v>-27,468,357.13</x:v>
      </x:c>
      <x:c r="J40" s="4" t="str">
        <x:v>华夏北京保障房REIT_2024年报_20250331.pdf，PDF第48页，现金流量表</x:v>
      </x:c>
    </x:row>
    <x:row r="41" ht="42" customHeight="1">
      <x:c r="A41" s="4" t="str">
        <x:v>华夏北京保障房REIT</x:v>
      </x:c>
      <x:c r="B41" s="4" t="str">
        <x:v>2024年度</x:v>
      </x:c>
      <x:c r="C41" s="4" t="str">
        <x:v>合并</x:v>
      </x:c>
      <x:c r="D41" s="4" t="n">
        <x:v>40</x:v>
      </x:c>
      <x:c r="E41" s="4" t="str">
        <x:v>加：期初现金及现金等价物余额</x:v>
      </x:c>
      <x:c r="F41" s="8" t="n">
        <x:v>17745165.09</x:v>
      </x:c>
      <x:c r="G41" s="8" t="n">
        <x:v>45213522.22</x:v>
      </x:c>
      <x:c r="H41" s="4" t="str">
        <x:v>17,745,165.09</x:v>
      </x:c>
      <x:c r="I41" s="4" t="str">
        <x:v>45,213,522.22</x:v>
      </x:c>
      <x:c r="J41" s="4" t="str">
        <x:v>华夏北京保障房REIT_2024年报_20250331.pdf，PDF第48页，现金流量表</x:v>
      </x:c>
    </x:row>
    <x:row r="42" ht="42" customHeight="1">
      <x:c r="A42" s="4" t="str">
        <x:v>华夏北京保障房REIT</x:v>
      </x:c>
      <x:c r="B42" s="4" t="str">
        <x:v>2024年度</x:v>
      </x:c>
      <x:c r="C42" s="4" t="str">
        <x:v>合并</x:v>
      </x:c>
      <x:c r="D42" s="4" t="n">
        <x:v>41</x:v>
      </x:c>
      <x:c r="E42" s="4" t="str">
        <x:v>六、期末现金及现金等价物余额</x:v>
      </x:c>
      <x:c r="F42" s="8" t="n">
        <x:v>7287276.85</x:v>
      </x:c>
      <x:c r="G42" s="8" t="n">
        <x:v>17745165.09</x:v>
      </x:c>
      <x:c r="H42" s="4" t="str">
        <x:v>7,287,276.85</x:v>
      </x:c>
      <x:c r="I42" s="4" t="str">
        <x:v>17,745,165.09</x:v>
      </x:c>
      <x:c r="J42" s="4" t="str">
        <x:v>华夏北京保障房REIT_2024年报_20250331.pdf，PDF第48页，现金流量表</x:v>
      </x:c>
    </x:row>
    <x:row r="43" ht="42" customHeight="1">
      <x:c r="A43" s="4" t="str">
        <x:v>华夏北京保障房REIT</x:v>
      </x:c>
      <x:c r="B43" s="4" t="str">
        <x:v>2024年度</x:v>
      </x:c>
      <x:c r="C43" s="4" t="str">
        <x:v>基金个别</x:v>
      </x:c>
      <x:c r="D43" s="4" t="n">
        <x:v>1</x:v>
      </x:c>
      <x:c r="E43" s="4" t="str">
        <x:v>1.收回基础设施投资收到的现金</x:v>
      </x:c>
      <x:c r="F43" s="8" t="n">
        <x:v>0</x:v>
      </x:c>
      <x:c r="G43" s="8" t="n">
        <x:v>0</x:v>
      </x:c>
      <x:c r="H43" s="4" t="str">
        <x:v>-</x:v>
      </x:c>
      <x:c r="I43" s="4" t="str">
        <x:v>-</x:v>
      </x:c>
      <x:c r="J43" s="4" t="str">
        <x:v>华夏北京保障房REIT_2024年报_20250331.pdf，PDF第48页，现金流量表</x:v>
      </x:c>
    </x:row>
    <x:row r="44" ht="42" customHeight="1">
      <x:c r="A44" s="4" t="str">
        <x:v>华夏北京保障房REIT</x:v>
      </x:c>
      <x:c r="B44" s="4" t="str">
        <x:v>2024年度</x:v>
      </x:c>
      <x:c r="C44" s="4" t="str">
        <x:v>基金个别</x:v>
      </x:c>
      <x:c r="D44" s="4" t="n">
        <x:v>2</x:v>
      </x:c>
      <x:c r="E44" s="4" t="str">
        <x:v>2.取得基础设施投资收益收到的现金</x:v>
      </x:c>
      <x:c r="F44" s="8" t="n">
        <x:v>55487256</x:v>
      </x:c>
      <x:c r="G44" s="8" t="n">
        <x:v>45423760</x:v>
      </x:c>
      <x:c r="H44" s="4" t="str">
        <x:v>55,487,256.00</x:v>
      </x:c>
      <x:c r="I44" s="4" t="str">
        <x:v>45,423,760.00</x:v>
      </x:c>
      <x:c r="J44" s="4" t="str">
        <x:v>华夏北京保障房REIT_2024年报_20250331.pdf，PDF第48页，现金流量表</x:v>
      </x:c>
    </x:row>
    <x:row r="45" ht="42" customHeight="1">
      <x:c r="A45" s="4" t="str">
        <x:v>华夏北京保障房REIT</x:v>
      </x:c>
      <x:c r="B45" s="4" t="str">
        <x:v>2024年度</x:v>
      </x:c>
      <x:c r="C45" s="4" t="str">
        <x:v>基金个别</x:v>
      </x:c>
      <x:c r="D45" s="4" t="n">
        <x:v>3</x:v>
      </x:c>
      <x:c r="E45" s="4" t="str">
        <x:v>3.处置证券投资收到的现金净额</x:v>
      </x:c>
      <x:c r="F45" s="8" t="n">
        <x:v>0</x:v>
      </x:c>
      <x:c r="G45" s="8" t="n">
        <x:v>0</x:v>
      </x:c>
      <x:c r="H45" s="4" t="str">
        <x:v>-</x:v>
      </x:c>
      <x:c r="I45" s="4" t="str">
        <x:v>-</x:v>
      </x:c>
      <x:c r="J45" s="4" t="str">
        <x:v>华夏北京保障房REIT_2024年报_20250331.pdf，PDF第48页，现金流量表</x:v>
      </x:c>
    </x:row>
    <x:row r="46" ht="42" customHeight="1">
      <x:c r="A46" s="4" t="str">
        <x:v>华夏北京保障房REIT</x:v>
      </x:c>
      <x:c r="B46" s="4" t="str">
        <x:v>2024年度</x:v>
      </x:c>
      <x:c r="C46" s="4" t="str">
        <x:v>基金个别</x:v>
      </x:c>
      <x:c r="D46" s="4" t="n">
        <x:v>4</x:v>
      </x:c>
      <x:c r="E46" s="4" t="str">
        <x:v>4.买入返售金融资产净减少额</x:v>
      </x:c>
      <x:c r="F46" s="8" t="n">
        <x:v>0</x:v>
      </x:c>
      <x:c r="G46" s="8" t="n">
        <x:v>0</x:v>
      </x:c>
      <x:c r="H46" s="4" t="str">
        <x:v>-</x:v>
      </x:c>
      <x:c r="I46" s="4" t="str">
        <x:v>-</x:v>
      </x:c>
      <x:c r="J46" s="4" t="str">
        <x:v>华夏北京保障房REIT_2024年报_20250331.pdf，PDF第48页，现金流量表</x:v>
      </x:c>
    </x:row>
    <x:row r="47" ht="42" customHeight="1">
      <x:c r="A47" s="4" t="str">
        <x:v>华夏北京保障房REIT</x:v>
      </x:c>
      <x:c r="B47" s="4" t="str">
        <x:v>2024年度</x:v>
      </x:c>
      <x:c r="C47" s="4" t="str">
        <x:v>基金个别</x:v>
      </x:c>
      <x:c r="D47" s="4" t="n">
        <x:v>5</x:v>
      </x:c>
      <x:c r="E47" s="4" t="str">
        <x:v>5.卖出回购金融资产款净增加额</x:v>
      </x:c>
      <x:c r="F47" s="8" t="n">
        <x:v>0</x:v>
      </x:c>
      <x:c r="G47" s="8" t="n">
        <x:v>0</x:v>
      </x:c>
      <x:c r="H47" s="4" t="str">
        <x:v>-</x:v>
      </x:c>
      <x:c r="I47" s="4" t="str">
        <x:v>-</x:v>
      </x:c>
      <x:c r="J47" s="4" t="str">
        <x:v>华夏北京保障房REIT_2024年报_20250331.pdf，PDF第48页，现金流量表</x:v>
      </x:c>
    </x:row>
    <x:row r="48" ht="42" customHeight="1">
      <x:c r="A48" s="4" t="str">
        <x:v>华夏北京保障房REIT</x:v>
      </x:c>
      <x:c r="B48" s="4" t="str">
        <x:v>2024年度</x:v>
      </x:c>
      <x:c r="C48" s="4" t="str">
        <x:v>基金个别</x:v>
      </x:c>
      <x:c r="D48" s="4" t="n">
        <x:v>6</x:v>
      </x:c>
      <x:c r="E48" s="4" t="str">
        <x:v>6.取得利息收入收到的现金</x:v>
      </x:c>
      <x:c r="F48" s="8" t="n">
        <x:v>22246.51</x:v>
      </x:c>
      <x:c r="G48" s="8" t="n">
        <x:v>23684.73</x:v>
      </x:c>
      <x:c r="H48" s="4" t="str">
        <x:v>22,246.51</x:v>
      </x:c>
      <x:c r="I48" s="4" t="str">
        <x:v>23,684.73</x:v>
      </x:c>
      <x:c r="J48" s="4" t="str">
        <x:v>华夏北京保障房REIT_2024年报_20250331.pdf，PDF第48页，现金流量表</x:v>
      </x:c>
    </x:row>
    <x:row r="49" ht="42" customHeight="1">
      <x:c r="A49" s="4" t="str">
        <x:v>华夏北京保障房REIT</x:v>
      </x:c>
      <x:c r="B49" s="4" t="str">
        <x:v>2024年度</x:v>
      </x:c>
      <x:c r="C49" s="4" t="str">
        <x:v>基金个别</x:v>
      </x:c>
      <x:c r="D49" s="4" t="n">
        <x:v>7</x:v>
      </x:c>
      <x:c r="E49" s="4" t="str">
        <x:v>7.收到其他与经营活动有关的现金</x:v>
      </x:c>
      <x:c r="F49" s="8" t="n">
        <x:v>0</x:v>
      </x:c>
      <x:c r="G49" s="8" t="n">
        <x:v>0</x:v>
      </x:c>
      <x:c r="H49" s="4" t="str">
        <x:v>-</x:v>
      </x:c>
      <x:c r="I49" s="4" t="str">
        <x:v>-</x:v>
      </x:c>
      <x:c r="J49" s="4" t="str">
        <x:v>华夏北京保障房REIT_2024年报_20250331.pdf，PDF第48页，现金流量表</x:v>
      </x:c>
    </x:row>
    <x:row r="50" ht="42" customHeight="1">
      <x:c r="A50" s="4" t="str">
        <x:v>华夏北京保障房REIT</x:v>
      </x:c>
      <x:c r="B50" s="4" t="str">
        <x:v>2024年度</x:v>
      </x:c>
      <x:c r="C50" s="4" t="str">
        <x:v>基金个别</x:v>
      </x:c>
      <x:c r="D50" s="4" t="n">
        <x:v>8</x:v>
      </x:c>
      <x:c r="E50" s="4" t="str">
        <x:v>经营活动现金流入小计</x:v>
      </x:c>
      <x:c r="F50" s="8" t="n">
        <x:v>55509502.51</x:v>
      </x:c>
      <x:c r="G50" s="8" t="n">
        <x:v>45447444.73</x:v>
      </x:c>
      <x:c r="H50" s="4" t="str">
        <x:v>55,509,502.51</x:v>
      </x:c>
      <x:c r="I50" s="4" t="str">
        <x:v>45,447,444.73</x:v>
      </x:c>
      <x:c r="J50" s="4" t="str">
        <x:v>华夏北京保障房REIT_2024年报_20250331.pdf，PDF第48页，现金流量表</x:v>
      </x:c>
    </x:row>
    <x:row r="51" ht="42" customHeight="1">
      <x:c r="A51" s="4" t="str">
        <x:v>华夏北京保障房REIT</x:v>
      </x:c>
      <x:c r="B51" s="4" t="str">
        <x:v>2024年度</x:v>
      </x:c>
      <x:c r="C51" s="4" t="str">
        <x:v>基金个别</x:v>
      </x:c>
      <x:c r="D51" s="4" t="n">
        <x:v>9</x:v>
      </x:c>
      <x:c r="E51" s="4" t="str">
        <x:v>8.取得基础设施投资支付的现金</x:v>
      </x:c>
      <x:c r="F51" s="8" t="n">
        <x:v>0</x:v>
      </x:c>
      <x:c r="G51" s="8" t="n">
        <x:v>0</x:v>
      </x:c>
      <x:c r="H51" s="4" t="str">
        <x:v>-</x:v>
      </x:c>
      <x:c r="I51" s="4" t="str">
        <x:v>-</x:v>
      </x:c>
      <x:c r="J51" s="4" t="str">
        <x:v>华夏北京保障房REIT_2024年报_20250331.pdf，PDF第48页，现金流量表</x:v>
      </x:c>
    </x:row>
    <x:row r="52" ht="42" customHeight="1">
      <x:c r="A52" s="4" t="str">
        <x:v>华夏北京保障房REIT</x:v>
      </x:c>
      <x:c r="B52" s="4" t="str">
        <x:v>2024年度</x:v>
      </x:c>
      <x:c r="C52" s="4" t="str">
        <x:v>基金个别</x:v>
      </x:c>
      <x:c r="D52" s="4" t="n">
        <x:v>10</x:v>
      </x:c>
      <x:c r="E52" s="4" t="str">
        <x:v>9.取得证券投资支付的现金净额</x:v>
      </x:c>
      <x:c r="F52" s="8" t="n">
        <x:v>0</x:v>
      </x:c>
      <x:c r="G52" s="8" t="n">
        <x:v>0</x:v>
      </x:c>
      <x:c r="H52" s="4" t="str">
        <x:v>-</x:v>
      </x:c>
      <x:c r="I52" s="4" t="str">
        <x:v>-</x:v>
      </x:c>
      <x:c r="J52" s="4" t="str">
        <x:v>华夏北京保障房REIT_2024年报_20250331.pdf，PDF第48页，现金流量表</x:v>
      </x:c>
    </x:row>
    <x:row r="53" ht="42" customHeight="1">
      <x:c r="A53" s="4" t="str">
        <x:v>华夏北京保障房REIT</x:v>
      </x:c>
      <x:c r="B53" s="4" t="str">
        <x:v>2024年度</x:v>
      </x:c>
      <x:c r="C53" s="4" t="str">
        <x:v>基金个别</x:v>
      </x:c>
      <x:c r="D53" s="4" t="n">
        <x:v>11</x:v>
      </x:c>
      <x:c r="E53" s="4" t="str">
        <x:v>10.买入返售金融资产净增加额</x:v>
      </x:c>
      <x:c r="F53" s="8" t="n">
        <x:v>0</x:v>
      </x:c>
      <x:c r="G53" s="8" t="n">
        <x:v>0</x:v>
      </x:c>
      <x:c r="H53" s="4" t="str">
        <x:v>-</x:v>
      </x:c>
      <x:c r="I53" s="4" t="str">
        <x:v>-</x:v>
      </x:c>
      <x:c r="J53" s="4" t="str">
        <x:v>华夏北京保障房REIT_2024年报_20250331.pdf，PDF第48页，现金流量表</x:v>
      </x:c>
    </x:row>
    <x:row r="54" ht="42" customHeight="1">
      <x:c r="A54" s="4" t="str">
        <x:v>华夏北京保障房REIT</x:v>
      </x:c>
      <x:c r="B54" s="4" t="str">
        <x:v>2024年度</x:v>
      </x:c>
      <x:c r="C54" s="4" t="str">
        <x:v>基金个别</x:v>
      </x:c>
      <x:c r="D54" s="4" t="n">
        <x:v>12</x:v>
      </x:c>
      <x:c r="E54" s="4" t="str">
        <x:v>11.卖出回购金融资产款净减少额</x:v>
      </x:c>
      <x:c r="F54" s="8" t="n">
        <x:v>0</x:v>
      </x:c>
      <x:c r="G54" s="8" t="n">
        <x:v>0</x:v>
      </x:c>
      <x:c r="H54" s="4" t="str">
        <x:v>-</x:v>
      </x:c>
      <x:c r="I54" s="4" t="str">
        <x:v>-</x:v>
      </x:c>
      <x:c r="J54" s="4" t="str">
        <x:v>华夏北京保障房REIT_2024年报_20250331.pdf，PDF第48页，现金流量表</x:v>
      </x:c>
    </x:row>
    <x:row r="55" ht="42" customHeight="1">
      <x:c r="A55" s="4" t="str">
        <x:v>华夏北京保障房REIT</x:v>
      </x:c>
      <x:c r="B55" s="4" t="str">
        <x:v>2024年度</x:v>
      </x:c>
      <x:c r="C55" s="4" t="str">
        <x:v>基金个别</x:v>
      </x:c>
      <x:c r="D55" s="4" t="n">
        <x:v>13</x:v>
      </x:c>
      <x:c r="E55" s="4" t="str">
        <x:v>12.支付的各项税费</x:v>
      </x:c>
      <x:c r="F55" s="8" t="n">
        <x:v>0</x:v>
      </x:c>
      <x:c r="G55" s="8" t="n">
        <x:v>0</x:v>
      </x:c>
      <x:c r="H55" s="4" t="str">
        <x:v>-</x:v>
      </x:c>
      <x:c r="I55" s="4" t="str">
        <x:v>-</x:v>
      </x:c>
      <x:c r="J55" s="4" t="str">
        <x:v>华夏北京保障房REIT_2024年报_20250331.pdf，PDF第48页，现金流量表</x:v>
      </x:c>
    </x:row>
    <x:row r="56" ht="42" customHeight="1">
      <x:c r="A56" s="4" t="str">
        <x:v>华夏北京保障房REIT</x:v>
      </x:c>
      <x:c r="B56" s="4" t="str">
        <x:v>2024年度</x:v>
      </x:c>
      <x:c r="C56" s="4" t="str">
        <x:v>基金个别</x:v>
      </x:c>
      <x:c r="D56" s="4" t="n">
        <x:v>14</x:v>
      </x:c>
      <x:c r="E56" s="4" t="str">
        <x:v>13.支付其他与经营活动有关的现金</x:v>
      </x:c>
      <x:c r="F56" s="8" t="n">
        <x:v>2361008.28</x:v>
      </x:c>
      <x:c r="G56" s="8" t="n">
        <x:v>145406.88</x:v>
      </x:c>
      <x:c r="H56" s="4" t="str">
        <x:v>2,361,008.28</x:v>
      </x:c>
      <x:c r="I56" s="4" t="str">
        <x:v>145,406.88</x:v>
      </x:c>
      <x:c r="J56" s="4" t="str">
        <x:v>华夏北京保障房REIT_2024年报_20250331.pdf，PDF第48页，现金流量表</x:v>
      </x:c>
    </x:row>
    <x:row r="57" ht="42" customHeight="1">
      <x:c r="A57" s="4" t="str">
        <x:v>华夏北京保障房REIT</x:v>
      </x:c>
      <x:c r="B57" s="4" t="str">
        <x:v>2024年度</x:v>
      </x:c>
      <x:c r="C57" s="4" t="str">
        <x:v>基金个别</x:v>
      </x:c>
      <x:c r="D57" s="4" t="n">
        <x:v>15</x:v>
      </x:c>
      <x:c r="E57" s="4" t="str">
        <x:v>经营活动现金流出小计</x:v>
      </x:c>
      <x:c r="F57" s="8" t="n">
        <x:v>2361008.28</x:v>
      </x:c>
      <x:c r="G57" s="8" t="n">
        <x:v>145406.88</x:v>
      </x:c>
      <x:c r="H57" s="4" t="str">
        <x:v>2,361,008.28</x:v>
      </x:c>
      <x:c r="I57" s="4" t="str">
        <x:v>145,406.88</x:v>
      </x:c>
      <x:c r="J57" s="4" t="str">
        <x:v>华夏北京保障房REIT_2024年报_20250331.pdf，PDF第48页，现金流量表</x:v>
      </x:c>
    </x:row>
    <x:row r="58" ht="42" customHeight="1">
      <x:c r="A58" s="4" t="str">
        <x:v>华夏北京保障房REIT</x:v>
      </x:c>
      <x:c r="B58" s="4" t="str">
        <x:v>2024年度</x:v>
      </x:c>
      <x:c r="C58" s="4" t="str">
        <x:v>基金个别</x:v>
      </x:c>
      <x:c r="D58" s="4" t="n">
        <x:v>16</x:v>
      </x:c>
      <x:c r="E58" s="4" t="str">
        <x:v>经营活动产生的现金流量净额</x:v>
      </x:c>
      <x:c r="F58" s="8" t="n">
        <x:v>53148494.23</x:v>
      </x:c>
      <x:c r="G58" s="8" t="n">
        <x:v>45302037.85</x:v>
      </x:c>
      <x:c r="H58" s="4" t="str">
        <x:v>53,148,494.23</x:v>
      </x:c>
      <x:c r="I58" s="4" t="str">
        <x:v>45,302,037.85</x:v>
      </x:c>
      <x:c r="J58" s="4" t="str">
        <x:v>华夏北京保障房REIT_2024年报_20250331.pdf，PDF第48页，现金流量表</x:v>
      </x:c>
    </x:row>
    <x:row r="59" ht="42" customHeight="1">
      <x:c r="A59" s="4" t="str">
        <x:v>华夏北京保障房REIT</x:v>
      </x:c>
      <x:c r="B59" s="4" t="str">
        <x:v>2024年度</x:v>
      </x:c>
      <x:c r="C59" s="4" t="str">
        <x:v>基金个别</x:v>
      </x:c>
      <x:c r="D59" s="4" t="n">
        <x:v>17</x:v>
      </x:c>
      <x:c r="E59" s="4" t="str">
        <x:v>14.认购/申购收到的现金</x:v>
      </x:c>
      <x:c r="F59" s="8" t="n">
        <x:v>0</x:v>
      </x:c>
      <x:c r="G59" s="8" t="n">
        <x:v>0</x:v>
      </x:c>
      <x:c r="H59" s="4" t="str">
        <x:v>-</x:v>
      </x:c>
      <x:c r="I59" s="4" t="str">
        <x:v>-</x:v>
      </x:c>
      <x:c r="J59" s="4" t="str">
        <x:v>华夏北京保障房REIT_2024年报_20250331.pdf，PDF第48页，现金流量表</x:v>
      </x:c>
    </x:row>
    <x:row r="60" ht="42" customHeight="1">
      <x:c r="A60" s="4" t="str">
        <x:v>华夏北京保障房REIT</x:v>
      </x:c>
      <x:c r="B60" s="4" t="str">
        <x:v>2024年度</x:v>
      </x:c>
      <x:c r="C60" s="4" t="str">
        <x:v>基金个别</x:v>
      </x:c>
      <x:c r="D60" s="4" t="n">
        <x:v>18</x:v>
      </x:c>
      <x:c r="E60" s="4" t="str">
        <x:v>15.收到其他与筹资活动有关的现金</x:v>
      </x:c>
      <x:c r="F60" s="8" t="n">
        <x:v>0</x:v>
      </x:c>
      <x:c r="G60" s="8" t="n">
        <x:v>0</x:v>
      </x:c>
      <x:c r="H60" s="4" t="str">
        <x:v>-</x:v>
      </x:c>
      <x:c r="I60" s="4" t="str">
        <x:v>-</x:v>
      </x:c>
      <x:c r="J60" s="4" t="str">
        <x:v>华夏北京保障房REIT_2024年报_20250331.pdf，PDF第48页，现金流量表</x:v>
      </x:c>
    </x:row>
    <x:row r="61" ht="42" customHeight="1">
      <x:c r="A61" s="4" t="str">
        <x:v>华夏北京保障房REIT</x:v>
      </x:c>
      <x:c r="B61" s="4" t="str">
        <x:v>2024年度</x:v>
      </x:c>
      <x:c r="C61" s="4" t="str">
        <x:v>基金个别</x:v>
      </x:c>
      <x:c r="D61" s="4" t="n">
        <x:v>19</x:v>
      </x:c>
      <x:c r="E61" s="4" t="str">
        <x:v>筹资活动现金流入小计</x:v>
      </x:c>
      <x:c r="F61" s="8" t="n">
        <x:v>0</x:v>
      </x:c>
      <x:c r="G61" s="8" t="n">
        <x:v>0</x:v>
      </x:c>
      <x:c r="H61" s="4" t="str">
        <x:v>-</x:v>
      </x:c>
      <x:c r="I61" s="4" t="str">
        <x:v>-</x:v>
      </x:c>
      <x:c r="J61" s="4" t="str">
        <x:v>华夏北京保障房REIT_2024年报_20250331.pdf，PDF第48页，现金流量表</x:v>
      </x:c>
    </x:row>
    <x:row r="62" ht="42" customHeight="1">
      <x:c r="A62" s="4" t="str">
        <x:v>华夏北京保障房REIT</x:v>
      </x:c>
      <x:c r="B62" s="4" t="str">
        <x:v>2024年度</x:v>
      </x:c>
      <x:c r="C62" s="4" t="str">
        <x:v>基金个别</x:v>
      </x:c>
      <x:c r="D62" s="4" t="n">
        <x:v>20</x:v>
      </x:c>
      <x:c r="E62" s="4" t="str">
        <x:v>16.赎回支付的现金</x:v>
      </x:c>
      <x:c r="F62" s="8" t="n">
        <x:v>0</x:v>
      </x:c>
      <x:c r="G62" s="8" t="n">
        <x:v>0</x:v>
      </x:c>
      <x:c r="H62" s="4" t="str">
        <x:v>-</x:v>
      </x:c>
      <x:c r="I62" s="4" t="str">
        <x:v>-</x:v>
      </x:c>
      <x:c r="J62" s="4" t="str">
        <x:v>华夏北京保障房REIT_2024年报_20250331.pdf，PDF第48页，现金流量表</x:v>
      </x:c>
    </x:row>
    <x:row r="63" ht="42" customHeight="1">
      <x:c r="A63" s="4" t="str">
        <x:v>华夏北京保障房REIT</x:v>
      </x:c>
      <x:c r="B63" s="4" t="str">
        <x:v>2024年度</x:v>
      </x:c>
      <x:c r="C63" s="4" t="str">
        <x:v>基金个别</x:v>
      </x:c>
      <x:c r="D63" s="4" t="n">
        <x:v>21</x:v>
      </x:c>
      <x:c r="E63" s="4" t="str">
        <x:v>17.偿付利息支付的现金</x:v>
      </x:c>
      <x:c r="F63" s="8" t="n">
        <x:v>0</x:v>
      </x:c>
      <x:c r="G63" s="8" t="n">
        <x:v>0</x:v>
      </x:c>
      <x:c r="H63" s="4" t="str">
        <x:v>-</x:v>
      </x:c>
      <x:c r="I63" s="4" t="str">
        <x:v>-</x:v>
      </x:c>
      <x:c r="J63" s="4" t="str">
        <x:v>华夏北京保障房REIT_2024年报_20250331.pdf，PDF第48页，现金流量表</x:v>
      </x:c>
    </x:row>
    <x:row r="64" ht="42" customHeight="1">
      <x:c r="A64" s="4" t="str">
        <x:v>华夏北京保障房REIT</x:v>
      </x:c>
      <x:c r="B64" s="4" t="str">
        <x:v>2024年度</x:v>
      </x:c>
      <x:c r="C64" s="4" t="str">
        <x:v>基金个别</x:v>
      </x:c>
      <x:c r="D64" s="4" t="n">
        <x:v>22</x:v>
      </x:c>
      <x:c r="E64" s="4" t="str">
        <x:v>18.分配支付的现金</x:v>
      </x:c>
      <x:c r="F64" s="8" t="n">
        <x:v>54360053.69</x:v>
      </x:c>
      <x:c r="G64" s="8" t="n">
        <x:v>46645084.66</x:v>
      </x:c>
      <x:c r="H64" s="4" t="str">
        <x:v>54,360,053.69</x:v>
      </x:c>
      <x:c r="I64" s="4" t="str">
        <x:v>46,645,084.66</x:v>
      </x:c>
      <x:c r="J64" s="4" t="str">
        <x:v>华夏北京保障房REIT_2024年报_20250331.pdf，PDF第48页，现金流量表</x:v>
      </x:c>
    </x:row>
    <x:row r="65" ht="42" customHeight="1">
      <x:c r="A65" s="4" t="str">
        <x:v>华夏北京保障房REIT</x:v>
      </x:c>
      <x:c r="B65" s="4" t="str">
        <x:v>2024年度</x:v>
      </x:c>
      <x:c r="C65" s="4" t="str">
        <x:v>基金个别</x:v>
      </x:c>
      <x:c r="D65" s="4" t="n">
        <x:v>23</x:v>
      </x:c>
      <x:c r="E65" s="4" t="str">
        <x:v>19.支付其他与筹资活动有关的现金</x:v>
      </x:c>
      <x:c r="F65" s="8" t="n">
        <x:v>0</x:v>
      </x:c>
      <x:c r="G65" s="8" t="n">
        <x:v>0</x:v>
      </x:c>
      <x:c r="H65" s="4" t="str">
        <x:v>-</x:v>
      </x:c>
      <x:c r="I65" s="4" t="str">
        <x:v>-</x:v>
      </x:c>
      <x:c r="J65" s="4" t="str">
        <x:v>华夏北京保障房REIT_2024年报_20250331.pdf，PDF第48页，现金流量表</x:v>
      </x:c>
    </x:row>
    <x:row r="66" ht="42" customHeight="1">
      <x:c r="A66" s="4" t="str">
        <x:v>华夏北京保障房REIT</x:v>
      </x:c>
      <x:c r="B66" s="4" t="str">
        <x:v>2024年度</x:v>
      </x:c>
      <x:c r="C66" s="4" t="str">
        <x:v>基金个别</x:v>
      </x:c>
      <x:c r="D66" s="4" t="n">
        <x:v>24</x:v>
      </x:c>
      <x:c r="E66" s="4" t="str">
        <x:v>筹资活动现金流出小计</x:v>
      </x:c>
      <x:c r="F66" s="8" t="n">
        <x:v>54360053.69</x:v>
      </x:c>
      <x:c r="G66" s="8" t="n">
        <x:v>46645084.66</x:v>
      </x:c>
      <x:c r="H66" s="4" t="str">
        <x:v>54,360,053.69</x:v>
      </x:c>
      <x:c r="I66" s="4" t="str">
        <x:v>46,645,084.66</x:v>
      </x:c>
      <x:c r="J66" s="4" t="str">
        <x:v>华夏北京保障房REIT_2024年报_20250331.pdf，PDF第48页，现金流量表</x:v>
      </x:c>
    </x:row>
    <x:row r="67" ht="42" customHeight="1">
      <x:c r="A67" s="4" t="str">
        <x:v>华夏北京保障房REIT</x:v>
      </x:c>
      <x:c r="B67" s="4" t="str">
        <x:v>2024年度</x:v>
      </x:c>
      <x:c r="C67" s="4" t="str">
        <x:v>基金个别</x:v>
      </x:c>
      <x:c r="D67" s="4" t="n">
        <x:v>25</x:v>
      </x:c>
      <x:c r="E67" s="4" t="str">
        <x:v>筹资活动产生的现金流量净额</x:v>
      </x:c>
      <x:c r="F67" s="8" t="n">
        <x:v>-54360053.69</x:v>
      </x:c>
      <x:c r="G67" s="8" t="n">
        <x:v>-46645084.66</x:v>
      </x:c>
      <x:c r="H67" s="4" t="str">
        <x:v>-54,360,053.69</x:v>
      </x:c>
      <x:c r="I67" s="4" t="str">
        <x:v>-46,645,084.66</x:v>
      </x:c>
      <x:c r="J67" s="4" t="str">
        <x:v>华夏北京保障房REIT_2024年报_20250331.pdf，PDF第48页，现金流量表</x:v>
      </x:c>
    </x:row>
    <x:row r="68" ht="42" customHeight="1">
      <x:c r="A68" s="4" t="str">
        <x:v>华夏北京保障房REIT</x:v>
      </x:c>
      <x:c r="B68" s="4" t="str">
        <x:v>2024年度</x:v>
      </x:c>
      <x:c r="C68" s="4" t="str">
        <x:v>基金个别</x:v>
      </x:c>
      <x:c r="D68" s="4" t="n">
        <x:v>26</x:v>
      </x:c>
      <x:c r="E68" s="4" t="str">
        <x:v>三、汇率变动对现金及现金等价物的影响</x:v>
      </x:c>
      <x:c r="F68" s="8" t="n">
        <x:v>0</x:v>
      </x:c>
      <x:c r="G68" s="8" t="n">
        <x:v>0</x:v>
      </x:c>
      <x:c r="H68" s="4" t="str">
        <x:v>-</x:v>
      </x:c>
      <x:c r="I68" s="4" t="str">
        <x:v>-</x:v>
      </x:c>
      <x:c r="J68" s="4" t="str">
        <x:v>华夏北京保障房REIT_2024年报_20250331.pdf，PDF第48页，现金流量表</x:v>
      </x:c>
    </x:row>
    <x:row r="69" ht="42" customHeight="1">
      <x:c r="A69" s="4" t="str">
        <x:v>华夏北京保障房REIT</x:v>
      </x:c>
      <x:c r="B69" s="4" t="str">
        <x:v>2024年度</x:v>
      </x:c>
      <x:c r="C69" s="4" t="str">
        <x:v>基金个别</x:v>
      </x:c>
      <x:c r="D69" s="4" t="n">
        <x:v>27</x:v>
      </x:c>
      <x:c r="E69" s="4" t="str">
        <x:v>四、现金及现金等价物净增加额</x:v>
      </x:c>
      <x:c r="F69" s="8" t="n">
        <x:v>-1211559.46</x:v>
      </x:c>
      <x:c r="G69" s="8" t="n">
        <x:v>-1343046.81</x:v>
      </x:c>
      <x:c r="H69" s="4" t="str">
        <x:v>-1,211,559.46</x:v>
      </x:c>
      <x:c r="I69" s="4" t="str">
        <x:v>-1,343,046.81</x:v>
      </x:c>
      <x:c r="J69" s="4" t="str">
        <x:v>华夏北京保障房REIT_2024年报_20250331.pdf，PDF第48页，现金流量表</x:v>
      </x:c>
    </x:row>
    <x:row r="70" ht="42" customHeight="1">
      <x:c r="A70" s="4" t="str">
        <x:v>华夏北京保障房REIT</x:v>
      </x:c>
      <x:c r="B70" s="4" t="str">
        <x:v>2024年度</x:v>
      </x:c>
      <x:c r="C70" s="4" t="str">
        <x:v>基金个别</x:v>
      </x:c>
      <x:c r="D70" s="4" t="n">
        <x:v>28</x:v>
      </x:c>
      <x:c r="E70" s="4" t="str">
        <x:v>加：期初现金及现金等价物余额</x:v>
      </x:c>
      <x:c r="F70" s="8" t="n">
        <x:v>3142522.61</x:v>
      </x:c>
      <x:c r="G70" s="8" t="n">
        <x:v>4485569.42</x:v>
      </x:c>
      <x:c r="H70" s="4" t="str">
        <x:v>3,142,522.61</x:v>
      </x:c>
      <x:c r="I70" s="4" t="str">
        <x:v>4,485,569.42</x:v>
      </x:c>
      <x:c r="J70" s="4" t="str">
        <x:v>华夏北京保障房REIT_2024年报_20250331.pdf，PDF第48页，现金流量表</x:v>
      </x:c>
    </x:row>
    <x:row r="71" ht="42" customHeight="1">
      <x:c r="A71" s="4" t="str">
        <x:v>华夏北京保障房REIT</x:v>
      </x:c>
      <x:c r="B71" s="4" t="str">
        <x:v>2024年度</x:v>
      </x:c>
      <x:c r="C71" s="4" t="str">
        <x:v>基金个别</x:v>
      </x:c>
      <x:c r="D71" s="4" t="n">
        <x:v>29</x:v>
      </x:c>
      <x:c r="E71" s="4" t="str">
        <x:v>五、期末现金及现金等价物余额</x:v>
      </x:c>
      <x:c r="F71" s="8" t="n">
        <x:v>1930963.15</x:v>
      </x:c>
      <x:c r="G71" s="8" t="n">
        <x:v>3142522.61</x:v>
      </x:c>
      <x:c r="H71" s="4" t="str">
        <x:v>1,930,963.15</x:v>
      </x:c>
      <x:c r="I71" s="4" t="str">
        <x:v>3,142,522.61</x:v>
      </x:c>
      <x:c r="J71" s="4" t="str">
        <x:v>华夏北京保障房REIT_2024年报_20250331.pdf，PDF第48页，现金流量表</x:v>
      </x:c>
    </x:row>
    <x:row r="72" ht="42" customHeight="1">
      <x:c r="A72" s="4" t="str">
        <x:v>华夏北京保障房REIT</x:v>
      </x:c>
      <x:c r="B72" s="4" t="str">
        <x:v>2025上半年</x:v>
      </x:c>
      <x:c r="C72" s="4" t="str">
        <x:v>合并</x:v>
      </x:c>
      <x:c r="D72" s="4" t="n">
        <x:v>1</x:v>
      </x:c>
      <x:c r="E72" s="4" t="str">
        <x:v>1.销售商品、提供劳务收到的现金</x:v>
      </x:c>
      <x:c r="F72" s="8" t="n">
        <x:v>41141494.61</x:v>
      </x:c>
      <x:c r="G72" s="8" t="n">
        <x:v>35880517.06</x:v>
      </x:c>
      <x:c r="H72" s="4" t="str">
        <x:v>41,141,494.61</x:v>
      </x:c>
      <x:c r="I72" s="4" t="str">
        <x:v>35,880,517.06</x:v>
      </x:c>
      <x:c r="J72" s="4" t="str">
        <x:v>华夏北京保障房REIT_2025中报_20250830.pdf，PDF第51页，现金流量表</x:v>
      </x:c>
    </x:row>
    <x:row r="73" ht="42" customHeight="1">
      <x:c r="A73" s="4" t="str">
        <x:v>华夏北京保障房REIT</x:v>
      </x:c>
      <x:c r="B73" s="4" t="str">
        <x:v>2025上半年</x:v>
      </x:c>
      <x:c r="C73" s="4" t="str">
        <x:v>合并</x:v>
      </x:c>
      <x:c r="D73" s="4" t="n">
        <x:v>2</x:v>
      </x:c>
      <x:c r="E73" s="4" t="str">
        <x:v>2.处置证券投资收到的现金净额</x:v>
      </x:c>
      <x:c r="F73" s="8" t="n">
        <x:v>0</x:v>
      </x:c>
      <x:c r="G73" s="8" t="n">
        <x:v>0</x:v>
      </x:c>
      <x:c r="H73" s="4" t="str">
        <x:v>-</x:v>
      </x:c>
      <x:c r="I73" s="4" t="str">
        <x:v>-</x:v>
      </x:c>
      <x:c r="J73" s="4" t="str">
        <x:v>华夏北京保障房REIT_2025中报_20250830.pdf，PDF第51页，现金流量表</x:v>
      </x:c>
    </x:row>
    <x:row r="74" ht="42" customHeight="1">
      <x:c r="A74" s="4" t="str">
        <x:v>华夏北京保障房REIT</x:v>
      </x:c>
      <x:c r="B74" s="4" t="str">
        <x:v>2025上半年</x:v>
      </x:c>
      <x:c r="C74" s="4" t="str">
        <x:v>合并</x:v>
      </x:c>
      <x:c r="D74" s="4" t="n">
        <x:v>3</x:v>
      </x:c>
      <x:c r="E74" s="4" t="str">
        <x:v>3.买入返售金融资产净减少额</x:v>
      </x:c>
      <x:c r="F74" s="8" t="n">
        <x:v>0</x:v>
      </x:c>
      <x:c r="G74" s="8" t="n">
        <x:v>0</x:v>
      </x:c>
      <x:c r="H74" s="4" t="str">
        <x:v>-</x:v>
      </x:c>
      <x:c r="I74" s="4" t="str">
        <x:v>-</x:v>
      </x:c>
      <x:c r="J74" s="4" t="str">
        <x:v>华夏北京保障房REIT_2025中报_20250830.pdf，PDF第51页，现金流量表</x:v>
      </x:c>
    </x:row>
    <x:row r="75" ht="42" customHeight="1">
      <x:c r="A75" s="4" t="str">
        <x:v>华夏北京保障房REIT</x:v>
      </x:c>
      <x:c r="B75" s="4" t="str">
        <x:v>2025上半年</x:v>
      </x:c>
      <x:c r="C75" s="4" t="str">
        <x:v>合并</x:v>
      </x:c>
      <x:c r="D75" s="4" t="n">
        <x:v>4</x:v>
      </x:c>
      <x:c r="E75" s="4" t="str">
        <x:v>4.卖出回购金融资产款净增加额</x:v>
      </x:c>
      <x:c r="F75" s="8" t="n">
        <x:v>0</x:v>
      </x:c>
      <x:c r="G75" s="8" t="n">
        <x:v>0</x:v>
      </x:c>
      <x:c r="H75" s="4" t="str">
        <x:v>-</x:v>
      </x:c>
      <x:c r="I75" s="4" t="str">
        <x:v>-</x:v>
      </x:c>
      <x:c r="J75" s="4" t="str">
        <x:v>华夏北京保障房REIT_2025中报_20250830.pdf，PDF第51页，现金流量表</x:v>
      </x:c>
    </x:row>
    <x:row r="76" ht="42" customHeight="1">
      <x:c r="A76" s="4" t="str">
        <x:v>华夏北京保障房REIT</x:v>
      </x:c>
      <x:c r="B76" s="4" t="str">
        <x:v>2025上半年</x:v>
      </x:c>
      <x:c r="C76" s="4" t="str">
        <x:v>合并</x:v>
      </x:c>
      <x:c r="D76" s="4" t="n">
        <x:v>5</x:v>
      </x:c>
      <x:c r="E76" s="4" t="str">
        <x:v>5.取得利息收入收到的现金</x:v>
      </x:c>
      <x:c r="F76" s="8" t="n">
        <x:v>204829.8</x:v>
      </x:c>
      <x:c r="G76" s="8" t="n">
        <x:v>104855.09</x:v>
      </x:c>
      <x:c r="H76" s="4" t="str">
        <x:v>204,829.80</x:v>
      </x:c>
      <x:c r="I76" s="4" t="str">
        <x:v>104,855.09</x:v>
      </x:c>
      <x:c r="J76" s="4" t="str">
        <x:v>华夏北京保障房REIT_2025中报_20250830.pdf，PDF第51页，现金流量表</x:v>
      </x:c>
    </x:row>
    <x:row r="77" ht="42" customHeight="1">
      <x:c r="A77" s="4" t="str">
        <x:v>华夏北京保障房REIT</x:v>
      </x:c>
      <x:c r="B77" s="4" t="str">
        <x:v>2025上半年</x:v>
      </x:c>
      <x:c r="C77" s="4" t="str">
        <x:v>合并</x:v>
      </x:c>
      <x:c r="D77" s="4" t="n">
        <x:v>6</x:v>
      </x:c>
      <x:c r="E77" s="4" t="str">
        <x:v>6.收到的税费返还</x:v>
      </x:c>
      <x:c r="F77" s="8" t="n">
        <x:v>0</x:v>
      </x:c>
      <x:c r="G77" s="8" t="n">
        <x:v>0</x:v>
      </x:c>
      <x:c r="H77" s="4" t="str">
        <x:v>-</x:v>
      </x:c>
      <x:c r="I77" s="4" t="str">
        <x:v>-</x:v>
      </x:c>
      <x:c r="J77" s="4" t="str">
        <x:v>华夏北京保障房REIT_2025中报_20250830.pdf，PDF第51页，现金流量表</x:v>
      </x:c>
    </x:row>
    <x:row r="78" ht="42" customHeight="1">
      <x:c r="A78" s="4" t="str">
        <x:v>华夏北京保障房REIT</x:v>
      </x:c>
      <x:c r="B78" s="4" t="str">
        <x:v>2025上半年</x:v>
      </x:c>
      <x:c r="C78" s="4" t="str">
        <x:v>合并</x:v>
      </x:c>
      <x:c r="D78" s="4" t="n">
        <x:v>7</x:v>
      </x:c>
      <x:c r="E78" s="4" t="str">
        <x:v>7.收到其他与经营活动有关的现金</x:v>
      </x:c>
      <x:c r="F78" s="8" t="n">
        <x:v>345617</x:v>
      </x:c>
      <x:c r="G78" s="8" t="n">
        <x:v>576681.8</x:v>
      </x:c>
      <x:c r="H78" s="4" t="str">
        <x:v>345,617.00</x:v>
      </x:c>
      <x:c r="I78" s="4" t="str">
        <x:v>576,681.80</x:v>
      </x:c>
      <x:c r="J78" s="4" t="str">
        <x:v>华夏北京保障房REIT_2025中报_20250830.pdf，PDF第51页，现金流量表</x:v>
      </x:c>
    </x:row>
    <x:row r="79" ht="42" customHeight="1">
      <x:c r="A79" s="4" t="str">
        <x:v>华夏北京保障房REIT</x:v>
      </x:c>
      <x:c r="B79" s="4" t="str">
        <x:v>2025上半年</x:v>
      </x:c>
      <x:c r="C79" s="4" t="str">
        <x:v>合并</x:v>
      </x:c>
      <x:c r="D79" s="4" t="n">
        <x:v>8</x:v>
      </x:c>
      <x:c r="E79" s="4" t="str">
        <x:v>经营活动现金流入小计</x:v>
      </x:c>
      <x:c r="F79" s="8" t="n">
        <x:v>41691941.41</x:v>
      </x:c>
      <x:c r="G79" s="8" t="n">
        <x:v>36562053.95</x:v>
      </x:c>
      <x:c r="H79" s="4" t="str">
        <x:v>41,691,941.41</x:v>
      </x:c>
      <x:c r="I79" s="4" t="str">
        <x:v>36,562,053.95</x:v>
      </x:c>
      <x:c r="J79" s="4" t="str">
        <x:v>华夏北京保障房REIT_2025中报_20250830.pdf，PDF第51页，现金流量表</x:v>
      </x:c>
    </x:row>
    <x:row r="80" ht="42" customHeight="1">
      <x:c r="A80" s="4" t="str">
        <x:v>华夏北京保障房REIT</x:v>
      </x:c>
      <x:c r="B80" s="4" t="str">
        <x:v>2025上半年</x:v>
      </x:c>
      <x:c r="C80" s="4" t="str">
        <x:v>合并</x:v>
      </x:c>
      <x:c r="D80" s="4" t="n">
        <x:v>9</x:v>
      </x:c>
      <x:c r="E80" s="4" t="str">
        <x:v>8.购买商品、接受劳务支付的现金</x:v>
      </x:c>
      <x:c r="F80" s="8" t="n">
        <x:v>7894485.56</x:v>
      </x:c>
      <x:c r="G80" s="8" t="n">
        <x:v>9222083.29</x:v>
      </x:c>
      <x:c r="H80" s="4" t="str">
        <x:v>7,894,485.56</x:v>
      </x:c>
      <x:c r="I80" s="4" t="str">
        <x:v>9,222,083.29</x:v>
      </x:c>
      <x:c r="J80" s="4" t="str">
        <x:v>华夏北京保障房REIT_2025中报_20250830.pdf，PDF第51页，现金流量表</x:v>
      </x:c>
    </x:row>
    <x:row r="81" ht="42" customHeight="1">
      <x:c r="A81" s="4" t="str">
        <x:v>华夏北京保障房REIT</x:v>
      </x:c>
      <x:c r="B81" s="4" t="str">
        <x:v>2025上半年</x:v>
      </x:c>
      <x:c r="C81" s="4" t="str">
        <x:v>合并</x:v>
      </x:c>
      <x:c r="D81" s="4" t="n">
        <x:v>10</x:v>
      </x:c>
      <x:c r="E81" s="4" t="str">
        <x:v>9.取得证券投资支付的现金净额</x:v>
      </x:c>
      <x:c r="F81" s="8" t="n">
        <x:v>0</x:v>
      </x:c>
      <x:c r="G81" s="8" t="n">
        <x:v>0</x:v>
      </x:c>
      <x:c r="H81" s="4" t="str">
        <x:v>-</x:v>
      </x:c>
      <x:c r="I81" s="4" t="str">
        <x:v>-</x:v>
      </x:c>
      <x:c r="J81" s="4" t="str">
        <x:v>华夏北京保障房REIT_2025中报_20250830.pdf，PDF第51页，现金流量表</x:v>
      </x:c>
    </x:row>
    <x:row r="82" ht="42" customHeight="1">
      <x:c r="A82" s="4" t="str">
        <x:v>华夏北京保障房REIT</x:v>
      </x:c>
      <x:c r="B82" s="4" t="str">
        <x:v>2025上半年</x:v>
      </x:c>
      <x:c r="C82" s="4" t="str">
        <x:v>合并</x:v>
      </x:c>
      <x:c r="D82" s="4" t="n">
        <x:v>11</x:v>
      </x:c>
      <x:c r="E82" s="4" t="str">
        <x:v>10.买入返售金融资产净增加额</x:v>
      </x:c>
      <x:c r="F82" s="8" t="n">
        <x:v>0</x:v>
      </x:c>
      <x:c r="G82" s="8" t="n">
        <x:v>0</x:v>
      </x:c>
      <x:c r="H82" s="4" t="str">
        <x:v>-</x:v>
      </x:c>
      <x:c r="I82" s="4" t="str">
        <x:v>-</x:v>
      </x:c>
      <x:c r="J82" s="4" t="str">
        <x:v>华夏北京保障房REIT_2025中报_20250830.pdf，PDF第51页，现金流量表</x:v>
      </x:c>
    </x:row>
    <x:row r="83" ht="42" customHeight="1">
      <x:c r="A83" s="4" t="str">
        <x:v>华夏北京保障房REIT</x:v>
      </x:c>
      <x:c r="B83" s="4" t="str">
        <x:v>2025上半年</x:v>
      </x:c>
      <x:c r="C83" s="4" t="str">
        <x:v>合并</x:v>
      </x:c>
      <x:c r="D83" s="4" t="n">
        <x:v>12</x:v>
      </x:c>
      <x:c r="E83" s="4" t="str">
        <x:v>11.卖出回购金融资产款净减少额</x:v>
      </x:c>
      <x:c r="F83" s="8" t="n">
        <x:v>0</x:v>
      </x:c>
      <x:c r="G83" s="8" t="n">
        <x:v>0</x:v>
      </x:c>
      <x:c r="H83" s="4" t="str">
        <x:v>-</x:v>
      </x:c>
      <x:c r="I83" s="4" t="str">
        <x:v>-</x:v>
      </x:c>
      <x:c r="J83" s="4" t="str">
        <x:v>华夏北京保障房REIT_2025中报_20250830.pdf，PDF第51页，现金流量表</x:v>
      </x:c>
    </x:row>
    <x:row r="84" ht="42" customHeight="1">
      <x:c r="A84" s="4" t="str">
        <x:v>华夏北京保障房REIT</x:v>
      </x:c>
      <x:c r="B84" s="4" t="str">
        <x:v>2025上半年</x:v>
      </x:c>
      <x:c r="C84" s="4" t="str">
        <x:v>合并</x:v>
      </x:c>
      <x:c r="D84" s="4" t="n">
        <x:v>13</x:v>
      </x:c>
      <x:c r="E84" s="4" t="str">
        <x:v>12.支付给职工以及为职工支付的现金</x:v>
      </x:c>
      <x:c r="F84" s="8" t="n">
        <x:v>16945.83</x:v>
      </x:c>
      <x:c r="G84" s="8" t="n">
        <x:v>0</x:v>
      </x:c>
      <x:c r="H84" s="4" t="str">
        <x:v>16,945.83</x:v>
      </x:c>
      <x:c r="I84" s="4" t="str">
        <x:v>-</x:v>
      </x:c>
      <x:c r="J84" s="4" t="str">
        <x:v>华夏北京保障房REIT_2025中报_20250830.pdf，PDF第51页，现金流量表</x:v>
      </x:c>
    </x:row>
    <x:row r="85" ht="42" customHeight="1">
      <x:c r="A85" s="4" t="str">
        <x:v>华夏北京保障房REIT</x:v>
      </x:c>
      <x:c r="B85" s="4" t="str">
        <x:v>2025上半年</x:v>
      </x:c>
      <x:c r="C85" s="4" t="str">
        <x:v>合并</x:v>
      </x:c>
      <x:c r="D85" s="4" t="n">
        <x:v>14</x:v>
      </x:c>
      <x:c r="E85" s="4" t="str">
        <x:v>13.支付的各项税费</x:v>
      </x:c>
      <x:c r="F85" s="8" t="n">
        <x:v>1159321.41</x:v>
      </x:c>
      <x:c r="G85" s="8" t="n">
        <x:v>1101355.34</x:v>
      </x:c>
      <x:c r="H85" s="4" t="str">
        <x:v>1,159,321.41</x:v>
      </x:c>
      <x:c r="I85" s="4" t="str">
        <x:v>1,101,355.34</x:v>
      </x:c>
      <x:c r="J85" s="4" t="str">
        <x:v>华夏北京保障房REIT_2025中报_20250830.pdf，PDF第51页，现金流量表</x:v>
      </x:c>
    </x:row>
    <x:row r="86" ht="42" customHeight="1">
      <x:c r="A86" s="4" t="str">
        <x:v>华夏北京保障房REIT</x:v>
      </x:c>
      <x:c r="B86" s="4" t="str">
        <x:v>2025上半年</x:v>
      </x:c>
      <x:c r="C86" s="4" t="str">
        <x:v>合并</x:v>
      </x:c>
      <x:c r="D86" s="4" t="n">
        <x:v>15</x:v>
      </x:c>
      <x:c r="E86" s="4" t="str">
        <x:v>14.支付其他与经营活动有关的现金</x:v>
      </x:c>
      <x:c r="F86" s="8" t="n">
        <x:v>4683608.31</x:v>
      </x:c>
      <x:c r="G86" s="8" t="n">
        <x:v>1458239.76</x:v>
      </x:c>
      <x:c r="H86" s="4" t="str">
        <x:v>4,683,608.31</x:v>
      </x:c>
      <x:c r="I86" s="4" t="str">
        <x:v>1,458,239.76</x:v>
      </x:c>
      <x:c r="J86" s="4" t="str">
        <x:v>华夏北京保障房REIT_2025中报_20250830.pdf，PDF第51页，现金流量表</x:v>
      </x:c>
    </x:row>
    <x:row r="87" ht="42" customHeight="1">
      <x:c r="A87" s="4" t="str">
        <x:v>华夏北京保障房REIT</x:v>
      </x:c>
      <x:c r="B87" s="4" t="str">
        <x:v>2025上半年</x:v>
      </x:c>
      <x:c r="C87" s="4" t="str">
        <x:v>合并</x:v>
      </x:c>
      <x:c r="D87" s="4" t="n">
        <x:v>16</x:v>
      </x:c>
      <x:c r="E87" s="4" t="str">
        <x:v>经营活动现金流出小计</x:v>
      </x:c>
      <x:c r="F87" s="8" t="n">
        <x:v>13754361.11</x:v>
      </x:c>
      <x:c r="G87" s="8" t="n">
        <x:v>11781678.39</x:v>
      </x:c>
      <x:c r="H87" s="4" t="str">
        <x:v>13,754,361.11</x:v>
      </x:c>
      <x:c r="I87" s="4" t="str">
        <x:v>11,781,678.39</x:v>
      </x:c>
      <x:c r="J87" s="4" t="str">
        <x:v>华夏北京保障房REIT_2025中报_20250830.pdf，PDF第51页，现金流量表</x:v>
      </x:c>
    </x:row>
    <x:row r="88" ht="42" customHeight="1">
      <x:c r="A88" s="4" t="str">
        <x:v>华夏北京保障房REIT</x:v>
      </x:c>
      <x:c r="B88" s="4" t="str">
        <x:v>2025上半年</x:v>
      </x:c>
      <x:c r="C88" s="4" t="str">
        <x:v>合并</x:v>
      </x:c>
      <x:c r="D88" s="4" t="n">
        <x:v>17</x:v>
      </x:c>
      <x:c r="E88" s="4" t="str">
        <x:v>经营活动产生的现金流量净额</x:v>
      </x:c>
      <x:c r="F88" s="8" t="n">
        <x:v>27937580.3</x:v>
      </x:c>
      <x:c r="G88" s="8" t="n">
        <x:v>24780375.56</x:v>
      </x:c>
      <x:c r="H88" s="4" t="str">
        <x:v>27,937,580.30</x:v>
      </x:c>
      <x:c r="I88" s="4" t="str">
        <x:v>24,780,375.56</x:v>
      </x:c>
      <x:c r="J88" s="4" t="str">
        <x:v>华夏北京保障房REIT_2025中报_20250830.pdf，PDF第51页，现金流量表</x:v>
      </x:c>
    </x:row>
    <x:row r="89" ht="42" customHeight="1">
      <x:c r="A89" s="4" t="str">
        <x:v>华夏北京保障房REIT</x:v>
      </x:c>
      <x:c r="B89" s="4" t="str">
        <x:v>2025上半年</x:v>
      </x:c>
      <x:c r="C89" s="4" t="str">
        <x:v>合并</x:v>
      </x:c>
      <x:c r="D89" s="4" t="n">
        <x:v>18</x:v>
      </x:c>
      <x:c r="E89" s="4" t="str">
        <x:v>15.处置固定资产、无形资产和其他长期资产收到的现金净额</x:v>
      </x:c>
      <x:c r="F89" s="8" t="n">
        <x:v>0</x:v>
      </x:c>
      <x:c r="G89" s="8" t="n">
        <x:v>0</x:v>
      </x:c>
      <x:c r="H89" s="4" t="str">
        <x:v>-</x:v>
      </x:c>
      <x:c r="I89" s="4" t="str">
        <x:v>-</x:v>
      </x:c>
      <x:c r="J89" s="4" t="str">
        <x:v>华夏北京保障房REIT_2025中报_20250830.pdf，PDF第51页，现金流量表</x:v>
      </x:c>
    </x:row>
    <x:row r="90" ht="42" customHeight="1">
      <x:c r="A90" s="4" t="str">
        <x:v>华夏北京保障房REIT</x:v>
      </x:c>
      <x:c r="B90" s="4" t="str">
        <x:v>2025上半年</x:v>
      </x:c>
      <x:c r="C90" s="4" t="str">
        <x:v>合并</x:v>
      </x:c>
      <x:c r="D90" s="4" t="n">
        <x:v>19</x:v>
      </x:c>
      <x:c r="E90" s="4" t="str">
        <x:v>16.处置子公司及其他营业单位收到的现金净额</x:v>
      </x:c>
      <x:c r="F90" s="8" t="n">
        <x:v>0</x:v>
      </x:c>
      <x:c r="G90" s="8" t="n">
        <x:v>0</x:v>
      </x:c>
      <x:c r="H90" s="4" t="str">
        <x:v>-</x:v>
      </x:c>
      <x:c r="I90" s="4" t="str">
        <x:v>-</x:v>
      </x:c>
      <x:c r="J90" s="4" t="str">
        <x:v>华夏北京保障房REIT_2025中报_20250830.pdf，PDF第51页，现金流量表</x:v>
      </x:c>
    </x:row>
    <x:row r="91" ht="42" customHeight="1">
      <x:c r="A91" s="4" t="str">
        <x:v>华夏北京保障房REIT</x:v>
      </x:c>
      <x:c r="B91" s="4" t="str">
        <x:v>2025上半年</x:v>
      </x:c>
      <x:c r="C91" s="4" t="str">
        <x:v>合并</x:v>
      </x:c>
      <x:c r="D91" s="4" t="n">
        <x:v>20</x:v>
      </x:c>
      <x:c r="E91" s="4" t="str">
        <x:v>17.收到其他与投资活动有关的现金</x:v>
      </x:c>
      <x:c r="F91" s="8" t="n">
        <x:v>24500000</x:v>
      </x:c>
      <x:c r="G91" s="8" t="n">
        <x:v>20000000</x:v>
      </x:c>
      <x:c r="H91" s="4" t="str">
        <x:v>24,500,000.00</x:v>
      </x:c>
      <x:c r="I91" s="4" t="str">
        <x:v>20,000,000.00</x:v>
      </x:c>
      <x:c r="J91" s="4" t="str">
        <x:v>华夏北京保障房REIT_2025中报_20250830.pdf，PDF第51页，现金流量表</x:v>
      </x:c>
    </x:row>
    <x:row r="92" ht="42" customHeight="1">
      <x:c r="A92" s="4" t="str">
        <x:v>华夏北京保障房REIT</x:v>
      </x:c>
      <x:c r="B92" s="4" t="str">
        <x:v>2025上半年</x:v>
      </x:c>
      <x:c r="C92" s="4" t="str">
        <x:v>合并</x:v>
      </x:c>
      <x:c r="D92" s="4" t="n">
        <x:v>21</x:v>
      </x:c>
      <x:c r="E92" s="4" t="str">
        <x:v>投资活动现金流入小计</x:v>
      </x:c>
      <x:c r="F92" s="8" t="n">
        <x:v>24500000</x:v>
      </x:c>
      <x:c r="G92" s="8" t="n">
        <x:v>20000000</x:v>
      </x:c>
      <x:c r="H92" s="4" t="str">
        <x:v>24,500,000.00</x:v>
      </x:c>
      <x:c r="I92" s="4" t="str">
        <x:v>20,000,000.00</x:v>
      </x:c>
      <x:c r="J92" s="4" t="str">
        <x:v>华夏北京保障房REIT_2025中报_20250830.pdf，PDF第52页，现金流量表</x:v>
      </x:c>
    </x:row>
    <x:row r="93" ht="42" customHeight="1">
      <x:c r="A93" s="4" t="str">
        <x:v>华夏北京保障房REIT</x:v>
      </x:c>
      <x:c r="B93" s="4" t="str">
        <x:v>2025上半年</x:v>
      </x:c>
      <x:c r="C93" s="4" t="str">
        <x:v>合并</x:v>
      </x:c>
      <x:c r="D93" s="4" t="n">
        <x:v>22</x:v>
      </x:c>
      <x:c r="E93" s="4" t="str">
        <x:v>18.购建固定资产、无形资产和其他长期资产支付的现金</x:v>
      </x:c>
      <x:c r="F93" s="8" t="n">
        <x:v>0</x:v>
      </x:c>
      <x:c r="G93" s="8" t="n">
        <x:v>0</x:v>
      </x:c>
      <x:c r="H93" s="4" t="str">
        <x:v>-</x:v>
      </x:c>
      <x:c r="I93" s="4" t="str">
        <x:v>-</x:v>
      </x:c>
      <x:c r="J93" s="4" t="str">
        <x:v>华夏北京保障房REIT_2025中报_20250830.pdf，PDF第52页，现金流量表</x:v>
      </x:c>
    </x:row>
    <x:row r="94" ht="42" customHeight="1">
      <x:c r="A94" s="4" t="str">
        <x:v>华夏北京保障房REIT</x:v>
      </x:c>
      <x:c r="B94" s="4" t="str">
        <x:v>2025上半年</x:v>
      </x:c>
      <x:c r="C94" s="4" t="str">
        <x:v>合并</x:v>
      </x:c>
      <x:c r="D94" s="4" t="n">
        <x:v>23</x:v>
      </x:c>
      <x:c r="E94" s="4" t="str">
        <x:v>19.取得子公司及其他营业单位支付的现金净额</x:v>
      </x:c>
      <x:c r="F94" s="8" t="n">
        <x:v>912509113.09</x:v>
      </x:c>
      <x:c r="G94" s="8" t="n">
        <x:v>0</x:v>
      </x:c>
      <x:c r="H94" s="4" t="str">
        <x:v>912,509,113.09</x:v>
      </x:c>
      <x:c r="I94" s="4" t="str">
        <x:v>-</x:v>
      </x:c>
      <x:c r="J94" s="4" t="str">
        <x:v>华夏北京保障房REIT_2025中报_20250830.pdf，PDF第52页，现金流量表</x:v>
      </x:c>
    </x:row>
    <x:row r="95" ht="42" customHeight="1">
      <x:c r="A95" s="4" t="str">
        <x:v>华夏北京保障房REIT</x:v>
      </x:c>
      <x:c r="B95" s="4" t="str">
        <x:v>2025上半年</x:v>
      </x:c>
      <x:c r="C95" s="4" t="str">
        <x:v>合并</x:v>
      </x:c>
      <x:c r="D95" s="4" t="n">
        <x:v>24</x:v>
      </x:c>
      <x:c r="E95" s="4" t="str">
        <x:v>20.支付其他与投资活动有关的现金</x:v>
      </x:c>
      <x:c r="F95" s="8" t="n">
        <x:v>18000000</x:v>
      </x:c>
      <x:c r="G95" s="8" t="n">
        <x:v>24000000</x:v>
      </x:c>
      <x:c r="H95" s="4" t="str">
        <x:v>18,000,000.00</x:v>
      </x:c>
      <x:c r="I95" s="4" t="str">
        <x:v>24,000,000.00</x:v>
      </x:c>
      <x:c r="J95" s="4" t="str">
        <x:v>华夏北京保障房REIT_2025中报_20250830.pdf，PDF第52页，现金流量表</x:v>
      </x:c>
    </x:row>
    <x:row r="96" ht="42" customHeight="1">
      <x:c r="A96" s="4" t="str">
        <x:v>华夏北京保障房REIT</x:v>
      </x:c>
      <x:c r="B96" s="4" t="str">
        <x:v>2025上半年</x:v>
      </x:c>
      <x:c r="C96" s="4" t="str">
        <x:v>合并</x:v>
      </x:c>
      <x:c r="D96" s="4" t="n">
        <x:v>25</x:v>
      </x:c>
      <x:c r="E96" s="4" t="str">
        <x:v>投资活动现金流出小计</x:v>
      </x:c>
      <x:c r="F96" s="8" t="n">
        <x:v>930509113.09</x:v>
      </x:c>
      <x:c r="G96" s="8" t="n">
        <x:v>24000000</x:v>
      </x:c>
      <x:c r="H96" s="4" t="str">
        <x:v>930,509,113.09</x:v>
      </x:c>
      <x:c r="I96" s="4" t="str">
        <x:v>24,000,000.00</x:v>
      </x:c>
      <x:c r="J96" s="4" t="str">
        <x:v>华夏北京保障房REIT_2025中报_20250830.pdf，PDF第52页，现金流量表</x:v>
      </x:c>
    </x:row>
    <x:row r="97" ht="42" customHeight="1">
      <x:c r="A97" s="4" t="str">
        <x:v>华夏北京保障房REIT</x:v>
      </x:c>
      <x:c r="B97" s="4" t="str">
        <x:v>2025上半年</x:v>
      </x:c>
      <x:c r="C97" s="4" t="str">
        <x:v>合并</x:v>
      </x:c>
      <x:c r="D97" s="4" t="n">
        <x:v>26</x:v>
      </x:c>
      <x:c r="E97" s="4" t="str">
        <x:v>投资活动产生的现金流量净额</x:v>
      </x:c>
      <x:c r="F97" s="8" t="n">
        <x:v>-906009113.09</x:v>
      </x:c>
      <x:c r="G97" s="8" t="n">
        <x:v>-4000000</x:v>
      </x:c>
      <x:c r="H97" s="4" t="str">
        <x:v>-906,009,113.09</x:v>
      </x:c>
      <x:c r="I97" s="4" t="str">
        <x:v>-4,000,000.00</x:v>
      </x:c>
      <x:c r="J97" s="4" t="str">
        <x:v>华夏北京保障房REIT_2025中报_20250830.pdf，PDF第52页，现金流量表</x:v>
      </x:c>
    </x:row>
    <x:row r="98" ht="42" customHeight="1">
      <x:c r="A98" s="4" t="str">
        <x:v>华夏北京保障房REIT</x:v>
      </x:c>
      <x:c r="B98" s="4" t="str">
        <x:v>2025上半年</x:v>
      </x:c>
      <x:c r="C98" s="4" t="str">
        <x:v>合并</x:v>
      </x:c>
      <x:c r="D98" s="4" t="n">
        <x:v>27</x:v>
      </x:c>
      <x:c r="E98" s="4" t="str">
        <x:v>21.认购／申购收到的现金</x:v>
      </x:c>
      <x:c r="F98" s="8" t="n">
        <x:v>946199997.98</x:v>
      </x:c>
      <x:c r="G98" s="8" t="n">
        <x:v>0</x:v>
      </x:c>
      <x:c r="H98" s="4" t="str">
        <x:v>946,199,997.98</x:v>
      </x:c>
      <x:c r="I98" s="4" t="str">
        <x:v>-</x:v>
      </x:c>
      <x:c r="J98" s="4" t="str">
        <x:v>华夏北京保障房REIT_2025中报_20250830.pdf，PDF第52页，现金流量表</x:v>
      </x:c>
    </x:row>
    <x:row r="99" ht="42" customHeight="1">
      <x:c r="A99" s="4" t="str">
        <x:v>华夏北京保障房REIT</x:v>
      </x:c>
      <x:c r="B99" s="4" t="str">
        <x:v>2025上半年</x:v>
      </x:c>
      <x:c r="C99" s="4" t="str">
        <x:v>合并</x:v>
      </x:c>
      <x:c r="D99" s="4" t="n">
        <x:v>28</x:v>
      </x:c>
      <x:c r="E99" s="4" t="str">
        <x:v>22.取得借款收到的现金</x:v>
      </x:c>
      <x:c r="F99" s="8" t="n">
        <x:v>0</x:v>
      </x:c>
      <x:c r="G99" s="8" t="n">
        <x:v>0</x:v>
      </x:c>
      <x:c r="H99" s="4" t="str">
        <x:v>-</x:v>
      </x:c>
      <x:c r="I99" s="4" t="str">
        <x:v>-</x:v>
      </x:c>
      <x:c r="J99" s="4" t="str">
        <x:v>华夏北京保障房REIT_2025中报_20250830.pdf，PDF第52页，现金流量表</x:v>
      </x:c>
    </x:row>
    <x:row r="100" ht="42" customHeight="1">
      <x:c r="A100" s="4" t="str">
        <x:v>华夏北京保障房REIT</x:v>
      </x:c>
      <x:c r="B100" s="4" t="str">
        <x:v>2025上半年</x:v>
      </x:c>
      <x:c r="C100" s="4" t="str">
        <x:v>合并</x:v>
      </x:c>
      <x:c r="D100" s="4" t="n">
        <x:v>29</x:v>
      </x:c>
      <x:c r="E100" s="4" t="str">
        <x:v>23.收到其他与筹资活动有关的现金</x:v>
      </x:c>
      <x:c r="F100" s="8" t="n">
        <x:v>0</x:v>
      </x:c>
      <x:c r="G100" s="8" t="n">
        <x:v>0</x:v>
      </x:c>
      <x:c r="H100" s="4" t="str">
        <x:v>-</x:v>
      </x:c>
      <x:c r="I100" s="4" t="str">
        <x:v>-</x:v>
      </x:c>
      <x:c r="J100" s="4" t="str">
        <x:v>华夏北京保障房REIT_2025中报_20250830.pdf，PDF第52页，现金流量表</x:v>
      </x:c>
    </x:row>
    <x:row r="101" ht="42" customHeight="1">
      <x:c r="A101" s="4" t="str">
        <x:v>华夏北京保障房REIT</x:v>
      </x:c>
      <x:c r="B101" s="4" t="str">
        <x:v>2025上半年</x:v>
      </x:c>
      <x:c r="C101" s="4" t="str">
        <x:v>合并</x:v>
      </x:c>
      <x:c r="D101" s="4" t="n">
        <x:v>30</x:v>
      </x:c>
      <x:c r="E101" s="4" t="str">
        <x:v>筹资活动现金流入小计</x:v>
      </x:c>
      <x:c r="F101" s="8" t="n">
        <x:v>946199997.98</x:v>
      </x:c>
      <x:c r="G101" s="8" t="n">
        <x:v>0</x:v>
      </x:c>
      <x:c r="H101" s="4" t="str">
        <x:v>946,199,997.98</x:v>
      </x:c>
      <x:c r="I101" s="4" t="str">
        <x:v>-</x:v>
      </x:c>
      <x:c r="J101" s="4" t="str">
        <x:v>华夏北京保障房REIT_2025中报_20250830.pdf，PDF第52页，现金流量表</x:v>
      </x:c>
    </x:row>
    <x:row r="102" ht="42" customHeight="1">
      <x:c r="A102" s="4" t="str">
        <x:v>华夏北京保障房REIT</x:v>
      </x:c>
      <x:c r="B102" s="4" t="str">
        <x:v>2025上半年</x:v>
      </x:c>
      <x:c r="C102" s="4" t="str">
        <x:v>合并</x:v>
      </x:c>
      <x:c r="D102" s="4" t="n">
        <x:v>31</x:v>
      </x:c>
      <x:c r="E102" s="4" t="str">
        <x:v>24.赎回支付的现金</x:v>
      </x:c>
      <x:c r="F102" s="8" t="n">
        <x:v>0</x:v>
      </x:c>
      <x:c r="G102" s="8" t="n">
        <x:v>0</x:v>
      </x:c>
      <x:c r="H102" s="4" t="str">
        <x:v>-</x:v>
      </x:c>
      <x:c r="I102" s="4" t="str">
        <x:v>-</x:v>
      </x:c>
      <x:c r="J102" s="4" t="str">
        <x:v>华夏北京保障房REIT_2025中报_20250830.pdf，PDF第52页，现金流量表</x:v>
      </x:c>
    </x:row>
    <x:row r="103" ht="42" customHeight="1">
      <x:c r="A103" s="4" t="str">
        <x:v>华夏北京保障房REIT</x:v>
      </x:c>
      <x:c r="B103" s="4" t="str">
        <x:v>2025上半年</x:v>
      </x:c>
      <x:c r="C103" s="4" t="str">
        <x:v>合并</x:v>
      </x:c>
      <x:c r="D103" s="4" t="n">
        <x:v>32</x:v>
      </x:c>
      <x:c r="E103" s="4" t="str">
        <x:v>25.偿还借款支付的现金</x:v>
      </x:c>
      <x:c r="F103" s="8" t="n">
        <x:v>0</x:v>
      </x:c>
      <x:c r="G103" s="8" t="n">
        <x:v>0</x:v>
      </x:c>
      <x:c r="H103" s="4" t="str">
        <x:v>-</x:v>
      </x:c>
      <x:c r="I103" s="4" t="str">
        <x:v>-</x:v>
      </x:c>
      <x:c r="J103" s="4" t="str">
        <x:v>华夏北京保障房REIT_2025中报_20250830.pdf，PDF第52页，现金流量表</x:v>
      </x:c>
    </x:row>
    <x:row r="104" ht="42" customHeight="1">
      <x:c r="A104" s="4" t="str">
        <x:v>华夏北京保障房REIT</x:v>
      </x:c>
      <x:c r="B104" s="4" t="str">
        <x:v>2025上半年</x:v>
      </x:c>
      <x:c r="C104" s="4" t="str">
        <x:v>合并</x:v>
      </x:c>
      <x:c r="D104" s="4" t="n">
        <x:v>33</x:v>
      </x:c>
      <x:c r="E104" s="4" t="str">
        <x:v>26.偿付利息支付的现金</x:v>
      </x:c>
      <x:c r="F104" s="8" t="n">
        <x:v>0</x:v>
      </x:c>
      <x:c r="G104" s="8" t="n">
        <x:v>0</x:v>
      </x:c>
      <x:c r="H104" s="4" t="str">
        <x:v>-</x:v>
      </x:c>
      <x:c r="I104" s="4" t="str">
        <x:v>-</x:v>
      </x:c>
      <x:c r="J104" s="4" t="str">
        <x:v>华夏北京保障房REIT_2025中报_20250830.pdf，PDF第52页，现金流量表</x:v>
      </x:c>
    </x:row>
    <x:row r="105" ht="42" customHeight="1">
      <x:c r="A105" s="4" t="str">
        <x:v>华夏北京保障房REIT</x:v>
      </x:c>
      <x:c r="B105" s="4" t="str">
        <x:v>2025上半年</x:v>
      </x:c>
      <x:c r="C105" s="4" t="str">
        <x:v>合并</x:v>
      </x:c>
      <x:c r="D105" s="4" t="n">
        <x:v>34</x:v>
      </x:c>
      <x:c r="E105" s="4" t="str">
        <x:v>27.分配支付的现金</x:v>
      </x:c>
      <x:c r="F105" s="8" t="n">
        <x:v>27020015.85</x:v>
      </x:c>
      <x:c r="G105" s="8" t="n">
        <x:v>27530029.16</x:v>
      </x:c>
      <x:c r="H105" s="4" t="str">
        <x:v>27,020,015.85</x:v>
      </x:c>
      <x:c r="I105" s="4" t="str">
        <x:v>27,530,029.16</x:v>
      </x:c>
      <x:c r="J105" s="4" t="str">
        <x:v>华夏北京保障房REIT_2025中报_20250830.pdf，PDF第52页，现金流量表</x:v>
      </x:c>
    </x:row>
    <x:row r="106" ht="42" customHeight="1">
      <x:c r="A106" s="4" t="str">
        <x:v>华夏北京保障房REIT</x:v>
      </x:c>
      <x:c r="B106" s="4" t="str">
        <x:v>2025上半年</x:v>
      </x:c>
      <x:c r="C106" s="4" t="str">
        <x:v>合并</x:v>
      </x:c>
      <x:c r="D106" s="4" t="n">
        <x:v>35</x:v>
      </x:c>
      <x:c r="E106" s="4" t="str">
        <x:v>28.支付其他与筹资活动有关的现金</x:v>
      </x:c>
      <x:c r="F106" s="8" t="n">
        <x:v>0</x:v>
      </x:c>
      <x:c r="G106" s="8" t="n">
        <x:v>0</x:v>
      </x:c>
      <x:c r="H106" s="4" t="str">
        <x:v>-</x:v>
      </x:c>
      <x:c r="I106" s="4" t="str">
        <x:v>-</x:v>
      </x:c>
      <x:c r="J106" s="4" t="str">
        <x:v>华夏北京保障房REIT_2025中报_20250830.pdf，PDF第52页，现金流量表</x:v>
      </x:c>
    </x:row>
    <x:row r="107" ht="42" customHeight="1">
      <x:c r="A107" s="4" t="str">
        <x:v>华夏北京保障房REIT</x:v>
      </x:c>
      <x:c r="B107" s="4" t="str">
        <x:v>2025上半年</x:v>
      </x:c>
      <x:c r="C107" s="4" t="str">
        <x:v>合并</x:v>
      </x:c>
      <x:c r="D107" s="4" t="n">
        <x:v>36</x:v>
      </x:c>
      <x:c r="E107" s="4" t="str">
        <x:v>筹资活动现金流出小计</x:v>
      </x:c>
      <x:c r="F107" s="8" t="n">
        <x:v>27020015.85</x:v>
      </x:c>
      <x:c r="G107" s="8" t="n">
        <x:v>27530029.16</x:v>
      </x:c>
      <x:c r="H107" s="4" t="str">
        <x:v>27,020,015.85</x:v>
      </x:c>
      <x:c r="I107" s="4" t="str">
        <x:v>27,530,029.16</x:v>
      </x:c>
      <x:c r="J107" s="4" t="str">
        <x:v>华夏北京保障房REIT_2025中报_20250830.pdf，PDF第52页，现金流量表</x:v>
      </x:c>
    </x:row>
    <x:row r="108" ht="42" customHeight="1">
      <x:c r="A108" s="4" t="str">
        <x:v>华夏北京保障房REIT</x:v>
      </x:c>
      <x:c r="B108" s="4" t="str">
        <x:v>2025上半年</x:v>
      </x:c>
      <x:c r="C108" s="4" t="str">
        <x:v>合并</x:v>
      </x:c>
      <x:c r="D108" s="4" t="n">
        <x:v>37</x:v>
      </x:c>
      <x:c r="E108" s="4" t="str">
        <x:v>筹资活动产生的现金流量净额</x:v>
      </x:c>
      <x:c r="F108" s="8" t="n">
        <x:v>919179982.13</x:v>
      </x:c>
      <x:c r="G108" s="8" t="n">
        <x:v>-27530029.16</x:v>
      </x:c>
      <x:c r="H108" s="4" t="str">
        <x:v>919,179,982.13</x:v>
      </x:c>
      <x:c r="I108" s="4" t="str">
        <x:v>-27,530,029.16</x:v>
      </x:c>
      <x:c r="J108" s="4" t="str">
        <x:v>华夏北京保障房REIT_2025中报_20250830.pdf，PDF第52页，现金流量表</x:v>
      </x:c>
    </x:row>
    <x:row r="109" ht="42" customHeight="1">
      <x:c r="A109" s="4" t="str">
        <x:v>华夏北京保障房REIT</x:v>
      </x:c>
      <x:c r="B109" s="4" t="str">
        <x:v>2025上半年</x:v>
      </x:c>
      <x:c r="C109" s="4" t="str">
        <x:v>合并</x:v>
      </x:c>
      <x:c r="D109" s="4" t="n">
        <x:v>38</x:v>
      </x:c>
      <x:c r="E109" s="4" t="str">
        <x:v>四、汇率变动对现金及现金等价物的影响</x:v>
      </x:c>
      <x:c r="F109" s="8" t="n">
        <x:v>0</x:v>
      </x:c>
      <x:c r="G109" s="8" t="n">
        <x:v>0</x:v>
      </x:c>
      <x:c r="H109" s="4" t="str">
        <x:v>-</x:v>
      </x:c>
      <x:c r="I109" s="4" t="str">
        <x:v>-</x:v>
      </x:c>
      <x:c r="J109" s="4" t="str">
        <x:v>华夏北京保障房REIT_2025中报_20250830.pdf，PDF第52页，现金流量表</x:v>
      </x:c>
    </x:row>
    <x:row r="110" ht="42" customHeight="1">
      <x:c r="A110" s="4" t="str">
        <x:v>华夏北京保障房REIT</x:v>
      </x:c>
      <x:c r="B110" s="4" t="str">
        <x:v>2025上半年</x:v>
      </x:c>
      <x:c r="C110" s="4" t="str">
        <x:v>合并</x:v>
      </x:c>
      <x:c r="D110" s="4" t="n">
        <x:v>39</x:v>
      </x:c>
      <x:c r="E110" s="4" t="str">
        <x:v>五、现金及现金等价物净增加额</x:v>
      </x:c>
      <x:c r="F110" s="8" t="n">
        <x:v>41108449.34</x:v>
      </x:c>
      <x:c r="G110" s="8" t="n">
        <x:v>-6749653.6</x:v>
      </x:c>
      <x:c r="H110" s="4" t="str">
        <x:v>41,108,449.34</x:v>
      </x:c>
      <x:c r="I110" s="4" t="str">
        <x:v>-6,749,653.60</x:v>
      </x:c>
      <x:c r="J110" s="4" t="str">
        <x:v>华夏北京保障房REIT_2025中报_20250830.pdf，PDF第52页，现金流量表</x:v>
      </x:c>
    </x:row>
    <x:row r="111" ht="42" customHeight="1">
      <x:c r="A111" s="4" t="str">
        <x:v>华夏北京保障房REIT</x:v>
      </x:c>
      <x:c r="B111" s="4" t="str">
        <x:v>2025上半年</x:v>
      </x:c>
      <x:c r="C111" s="4" t="str">
        <x:v>合并</x:v>
      </x:c>
      <x:c r="D111" s="4" t="n">
        <x:v>40</x:v>
      </x:c>
      <x:c r="E111" s="4" t="str">
        <x:v>加：期初现金及现金等价物余额</x:v>
      </x:c>
      <x:c r="F111" s="8" t="n">
        <x:v>7287276.85</x:v>
      </x:c>
      <x:c r="G111" s="8" t="n">
        <x:v>17745165.09</x:v>
      </x:c>
      <x:c r="H111" s="4" t="str">
        <x:v>7,287,276.85</x:v>
      </x:c>
      <x:c r="I111" s="4" t="str">
        <x:v>17,745,165.09</x:v>
      </x:c>
      <x:c r="J111" s="4" t="str">
        <x:v>华夏北京保障房REIT_2025中报_20250830.pdf，PDF第52页，现金流量表</x:v>
      </x:c>
    </x:row>
    <x:row r="112" ht="42" customHeight="1">
      <x:c r="A112" s="4" t="str">
        <x:v>华夏北京保障房REIT</x:v>
      </x:c>
      <x:c r="B112" s="4" t="str">
        <x:v>2025上半年</x:v>
      </x:c>
      <x:c r="C112" s="4" t="str">
        <x:v>合并</x:v>
      </x:c>
      <x:c r="D112" s="4" t="n">
        <x:v>41</x:v>
      </x:c>
      <x:c r="E112" s="4" t="str">
        <x:v>六、期末现金及现金等价物余额</x:v>
      </x:c>
      <x:c r="F112" s="8" t="n">
        <x:v>48395726.19</x:v>
      </x:c>
      <x:c r="G112" s="8" t="n">
        <x:v>10995511.49</x:v>
      </x:c>
      <x:c r="H112" s="4" t="str">
        <x:v>48,395,726.19</x:v>
      </x:c>
      <x:c r="I112" s="4" t="str">
        <x:v>10,995,511.49</x:v>
      </x:c>
      <x:c r="J112" s="4" t="str">
        <x:v>华夏北京保障房REIT_2025中报_20250830.pdf，PDF第52页，现金流量表</x:v>
      </x:c>
    </x:row>
    <x:row r="113" ht="42" customHeight="1">
      <x:c r="A113" s="4" t="str">
        <x:v>华夏北京保障房REIT</x:v>
      </x:c>
      <x:c r="B113" s="4" t="str">
        <x:v>2025上半年</x:v>
      </x:c>
      <x:c r="C113" s="4" t="str">
        <x:v>基金个别</x:v>
      </x:c>
      <x:c r="D113" s="4" t="n">
        <x:v>1</x:v>
      </x:c>
      <x:c r="E113" s="4" t="str">
        <x:v>1.收回基础设施投资收到的现金</x:v>
      </x:c>
      <x:c r="F113" s="8" t="n">
        <x:v>0</x:v>
      </x:c>
      <x:c r="G113" s="8" t="n">
        <x:v>0</x:v>
      </x:c>
      <x:c r="H113" s="4" t="str">
        <x:v>-</x:v>
      </x:c>
      <x:c r="I113" s="4" t="str">
        <x:v>-</x:v>
      </x:c>
      <x:c r="J113" s="4" t="str">
        <x:v>华夏北京保障房REIT_2025中报_20250830.pdf，PDF第52页，现金流量表</x:v>
      </x:c>
    </x:row>
    <x:row r="114" ht="42" customHeight="1">
      <x:c r="A114" s="4" t="str">
        <x:v>华夏北京保障房REIT</x:v>
      </x:c>
      <x:c r="B114" s="4" t="str">
        <x:v>2025上半年</x:v>
      </x:c>
      <x:c r="C114" s="4" t="str">
        <x:v>基金个别</x:v>
      </x:c>
      <x:c r="D114" s="4" t="n">
        <x:v>2</x:v>
      </x:c>
      <x:c r="E114" s="4" t="str">
        <x:v>2.取得基础设施投资收益收到的现金</x:v>
      </x:c>
      <x:c r="F114" s="8" t="n">
        <x:v>34406616</x:v>
      </x:c>
      <x:c r="G114" s="8" t="n">
        <x:v>32637348</x:v>
      </x:c>
      <x:c r="H114" s="4" t="str">
        <x:v>34,406,616.00</x:v>
      </x:c>
      <x:c r="I114" s="4" t="str">
        <x:v>32,637,348.00</x:v>
      </x:c>
      <x:c r="J114" s="4" t="str">
        <x:v>华夏北京保障房REIT_2025中报_20250830.pdf，PDF第52页，现金流量表</x:v>
      </x:c>
    </x:row>
    <x:row r="115" ht="42" customHeight="1">
      <x:c r="A115" s="4" t="str">
        <x:v>华夏北京保障房REIT</x:v>
      </x:c>
      <x:c r="B115" s="4" t="str">
        <x:v>2025上半年</x:v>
      </x:c>
      <x:c r="C115" s="4" t="str">
        <x:v>基金个别</x:v>
      </x:c>
      <x:c r="D115" s="4" t="n">
        <x:v>3</x:v>
      </x:c>
      <x:c r="E115" s="4" t="str">
        <x:v>3.处置证券投资收到的现金净额</x:v>
      </x:c>
      <x:c r="F115" s="8" t="n">
        <x:v>0</x:v>
      </x:c>
      <x:c r="G115" s="8" t="n">
        <x:v>0</x:v>
      </x:c>
      <x:c r="H115" s="4" t="str">
        <x:v>-</x:v>
      </x:c>
      <x:c r="I115" s="4" t="str">
        <x:v>-</x:v>
      </x:c>
      <x:c r="J115" s="4" t="str">
        <x:v>华夏北京保障房REIT_2025中报_20250830.pdf，PDF第52页，现金流量表</x:v>
      </x:c>
    </x:row>
    <x:row r="116" ht="42" customHeight="1">
      <x:c r="A116" s="4" t="str">
        <x:v>华夏北京保障房REIT</x:v>
      </x:c>
      <x:c r="B116" s="4" t="str">
        <x:v>2025上半年</x:v>
      </x:c>
      <x:c r="C116" s="4" t="str">
        <x:v>基金个别</x:v>
      </x:c>
      <x:c r="D116" s="4" t="n">
        <x:v>4</x:v>
      </x:c>
      <x:c r="E116" s="4" t="str">
        <x:v>4.买入返售金融资产净减少额</x:v>
      </x:c>
      <x:c r="F116" s="8" t="n">
        <x:v>0</x:v>
      </x:c>
      <x:c r="G116" s="8" t="n">
        <x:v>0</x:v>
      </x:c>
      <x:c r="H116" s="4" t="str">
        <x:v>-</x:v>
      </x:c>
      <x:c r="I116" s="4" t="str">
        <x:v>-</x:v>
      </x:c>
      <x:c r="J116" s="4" t="str">
        <x:v>华夏北京保障房REIT_2025中报_20250830.pdf，PDF第52页，现金流量表</x:v>
      </x:c>
    </x:row>
    <x:row r="117" ht="42" customHeight="1">
      <x:c r="A117" s="4" t="str">
        <x:v>华夏北京保障房REIT</x:v>
      </x:c>
      <x:c r="B117" s="4" t="str">
        <x:v>2025上半年</x:v>
      </x:c>
      <x:c r="C117" s="4" t="str">
        <x:v>基金个别</x:v>
      </x:c>
      <x:c r="D117" s="4" t="n">
        <x:v>5</x:v>
      </x:c>
      <x:c r="E117" s="4" t="str">
        <x:v>5.卖出回购金融资产款净增加额</x:v>
      </x:c>
      <x:c r="F117" s="8" t="n">
        <x:v>0</x:v>
      </x:c>
      <x:c r="G117" s="8" t="n">
        <x:v>0</x:v>
      </x:c>
      <x:c r="H117" s="4" t="str">
        <x:v>-</x:v>
      </x:c>
      <x:c r="I117" s="4" t="str">
        <x:v>-</x:v>
      </x:c>
      <x:c r="J117" s="4" t="str">
        <x:v>华夏北京保障房REIT_2025中报_20250830.pdf，PDF第53页，现金流量表</x:v>
      </x:c>
    </x:row>
    <x:row r="118" ht="42" customHeight="1">
      <x:c r="A118" s="4" t="str">
        <x:v>华夏北京保障房REIT</x:v>
      </x:c>
      <x:c r="B118" s="4" t="str">
        <x:v>2025上半年</x:v>
      </x:c>
      <x:c r="C118" s="4" t="str">
        <x:v>基金个别</x:v>
      </x:c>
      <x:c r="D118" s="4" t="n">
        <x:v>6</x:v>
      </x:c>
      <x:c r="E118" s="4" t="str">
        <x:v>6.取得利息收入收到的现金</x:v>
      </x:c>
      <x:c r="F118" s="8" t="n">
        <x:v>122252.17</x:v>
      </x:c>
      <x:c r="G118" s="8" t="n">
        <x:v>10935.68</x:v>
      </x:c>
      <x:c r="H118" s="4" t="str">
        <x:v>122,252.17</x:v>
      </x:c>
      <x:c r="I118" s="4" t="str">
        <x:v>10,935.68</x:v>
      </x:c>
      <x:c r="J118" s="4" t="str">
        <x:v>华夏北京保障房REIT_2025中报_20250830.pdf，PDF第53页，现金流量表</x:v>
      </x:c>
    </x:row>
    <x:row r="119" ht="42" customHeight="1">
      <x:c r="A119" s="4" t="str">
        <x:v>华夏北京保障房REIT</x:v>
      </x:c>
      <x:c r="B119" s="4" t="str">
        <x:v>2025上半年</x:v>
      </x:c>
      <x:c r="C119" s="4" t="str">
        <x:v>基金个别</x:v>
      </x:c>
      <x:c r="D119" s="4" t="n">
        <x:v>7</x:v>
      </x:c>
      <x:c r="E119" s="4" t="str">
        <x:v>7.收到其他与经营活动有关的现金</x:v>
      </x:c>
      <x:c r="F119" s="8" t="n">
        <x:v>0</x:v>
      </x:c>
      <x:c r="G119" s="8" t="n">
        <x:v>0</x:v>
      </x:c>
      <x:c r="H119" s="4" t="str">
        <x:v>-</x:v>
      </x:c>
      <x:c r="I119" s="4" t="str">
        <x:v>-</x:v>
      </x:c>
      <x:c r="J119" s="4" t="str">
        <x:v>华夏北京保障房REIT_2025中报_20250830.pdf，PDF第53页，现金流量表</x:v>
      </x:c>
    </x:row>
    <x:row r="120" ht="42" customHeight="1">
      <x:c r="A120" s="4" t="str">
        <x:v>华夏北京保障房REIT</x:v>
      </x:c>
      <x:c r="B120" s="4" t="str">
        <x:v>2025上半年</x:v>
      </x:c>
      <x:c r="C120" s="4" t="str">
        <x:v>基金个别</x:v>
      </x:c>
      <x:c r="D120" s="4" t="n">
        <x:v>8</x:v>
      </x:c>
      <x:c r="E120" s="4" t="str">
        <x:v>经营活动现金流入小计</x:v>
      </x:c>
      <x:c r="F120" s="8" t="n">
        <x:v>34528868.17</x:v>
      </x:c>
      <x:c r="G120" s="8" t="n">
        <x:v>32648283.68</x:v>
      </x:c>
      <x:c r="H120" s="4" t="str">
        <x:v>34,528,868.17</x:v>
      </x:c>
      <x:c r="I120" s="4" t="str">
        <x:v>32,648,283.68</x:v>
      </x:c>
      <x:c r="J120" s="4" t="str">
        <x:v>华夏北京保障房REIT_2025中报_20250830.pdf，PDF第53页，现金流量表</x:v>
      </x:c>
    </x:row>
    <x:row r="121" ht="42" customHeight="1">
      <x:c r="A121" s="4" t="str">
        <x:v>华夏北京保障房REIT</x:v>
      </x:c>
      <x:c r="B121" s="4" t="str">
        <x:v>2025上半年</x:v>
      </x:c>
      <x:c r="C121" s="4" t="str">
        <x:v>基金个别</x:v>
      </x:c>
      <x:c r="D121" s="4" t="n">
        <x:v>9</x:v>
      </x:c>
      <x:c r="E121" s="4" t="str">
        <x:v>8.取得基础设施投资支付的现金</x:v>
      </x:c>
      <x:c r="F121" s="8" t="n">
        <x:v>946000000</x:v>
      </x:c>
      <x:c r="G121" s="8" t="n">
        <x:v>0</x:v>
      </x:c>
      <x:c r="H121" s="4" t="str">
        <x:v>946,000,000.00</x:v>
      </x:c>
      <x:c r="I121" s="4" t="str">
        <x:v>-</x:v>
      </x:c>
      <x:c r="J121" s="4" t="str">
        <x:v>华夏北京保障房REIT_2025中报_20250830.pdf，PDF第53页，现金流量表</x:v>
      </x:c>
    </x:row>
    <x:row r="122" ht="42" customHeight="1">
      <x:c r="A122" s="4" t="str">
        <x:v>华夏北京保障房REIT</x:v>
      </x:c>
      <x:c r="B122" s="4" t="str">
        <x:v>2025上半年</x:v>
      </x:c>
      <x:c r="C122" s="4" t="str">
        <x:v>基金个别</x:v>
      </x:c>
      <x:c r="D122" s="4" t="n">
        <x:v>10</x:v>
      </x:c>
      <x:c r="E122" s="4" t="str">
        <x:v>9.取得证券投资支付的现金净额</x:v>
      </x:c>
      <x:c r="F122" s="8" t="n">
        <x:v>0</x:v>
      </x:c>
      <x:c r="G122" s="8" t="n">
        <x:v>0</x:v>
      </x:c>
      <x:c r="H122" s="4" t="str">
        <x:v>-</x:v>
      </x:c>
      <x:c r="I122" s="4" t="str">
        <x:v>-</x:v>
      </x:c>
      <x:c r="J122" s="4" t="str">
        <x:v>华夏北京保障房REIT_2025中报_20250830.pdf，PDF第53页，现金流量表</x:v>
      </x:c>
    </x:row>
    <x:row r="123" ht="42" customHeight="1">
      <x:c r="A123" s="4" t="str">
        <x:v>华夏北京保障房REIT</x:v>
      </x:c>
      <x:c r="B123" s="4" t="str">
        <x:v>2025上半年</x:v>
      </x:c>
      <x:c r="C123" s="4" t="str">
        <x:v>基金个别</x:v>
      </x:c>
      <x:c r="D123" s="4" t="n">
        <x:v>11</x:v>
      </x:c>
      <x:c r="E123" s="4" t="str">
        <x:v>10.买入返售金融资产净增加额</x:v>
      </x:c>
      <x:c r="F123" s="8" t="n">
        <x:v>0</x:v>
      </x:c>
      <x:c r="G123" s="8" t="n">
        <x:v>0</x:v>
      </x:c>
      <x:c r="H123" s="4" t="str">
        <x:v>-</x:v>
      </x:c>
      <x:c r="I123" s="4" t="str">
        <x:v>-</x:v>
      </x:c>
      <x:c r="J123" s="4" t="str">
        <x:v>华夏北京保障房REIT_2025中报_20250830.pdf，PDF第53页，现金流量表</x:v>
      </x:c>
    </x:row>
    <x:row r="124" ht="42" customHeight="1">
      <x:c r="A124" s="4" t="str">
        <x:v>华夏北京保障房REIT</x:v>
      </x:c>
      <x:c r="B124" s="4" t="str">
        <x:v>2025上半年</x:v>
      </x:c>
      <x:c r="C124" s="4" t="str">
        <x:v>基金个别</x:v>
      </x:c>
      <x:c r="D124" s="4" t="n">
        <x:v>12</x:v>
      </x:c>
      <x:c r="E124" s="4" t="str">
        <x:v>11.卖出回购金融资产款净减少额</x:v>
      </x:c>
      <x:c r="F124" s="8" t="n">
        <x:v>0</x:v>
      </x:c>
      <x:c r="G124" s="8" t="n">
        <x:v>0</x:v>
      </x:c>
      <x:c r="H124" s="4" t="str">
        <x:v>-</x:v>
      </x:c>
      <x:c r="I124" s="4" t="str">
        <x:v>-</x:v>
      </x:c>
      <x:c r="J124" s="4" t="str">
        <x:v>华夏北京保障房REIT_2025中报_20250830.pdf，PDF第53页，现金流量表</x:v>
      </x:c>
    </x:row>
    <x:row r="125" ht="42" customHeight="1">
      <x:c r="A125" s="4" t="str">
        <x:v>华夏北京保障房REIT</x:v>
      </x:c>
      <x:c r="B125" s="4" t="str">
        <x:v>2025上半年</x:v>
      </x:c>
      <x:c r="C125" s="4" t="str">
        <x:v>基金个别</x:v>
      </x:c>
      <x:c r="D125" s="4" t="n">
        <x:v>13</x:v>
      </x:c>
      <x:c r="E125" s="4" t="str">
        <x:v>12.支付的各项税费</x:v>
      </x:c>
      <x:c r="F125" s="8" t="n">
        <x:v>0</x:v>
      </x:c>
      <x:c r="G125" s="8" t="n">
        <x:v>0</x:v>
      </x:c>
      <x:c r="H125" s="4" t="str">
        <x:v>-</x:v>
      </x:c>
      <x:c r="I125" s="4" t="str">
        <x:v>-</x:v>
      </x:c>
      <x:c r="J125" s="4" t="str">
        <x:v>华夏北京保障房REIT_2025中报_20250830.pdf，PDF第53页，现金流量表</x:v>
      </x:c>
    </x:row>
    <x:row r="126" ht="42" customHeight="1">
      <x:c r="A126" s="4" t="str">
        <x:v>华夏北京保障房REIT</x:v>
      </x:c>
      <x:c r="B126" s="4" t="str">
        <x:v>2025上半年</x:v>
      </x:c>
      <x:c r="C126" s="4" t="str">
        <x:v>基金个别</x:v>
      </x:c>
      <x:c r="D126" s="4" t="n">
        <x:v>14</x:v>
      </x:c>
      <x:c r="E126" s="4" t="str">
        <x:v>13.支付其他与经营活动有关的现金</x:v>
      </x:c>
      <x:c r="F126" s="8" t="n">
        <x:v>1791302.24</x:v>
      </x:c>
      <x:c r="G126" s="8" t="n">
        <x:v>2361008.28</x:v>
      </x:c>
      <x:c r="H126" s="4" t="str">
        <x:v>1,791,302.24</x:v>
      </x:c>
      <x:c r="I126" s="4" t="str">
        <x:v>2,361,008.28</x:v>
      </x:c>
      <x:c r="J126" s="4" t="str">
        <x:v>华夏北京保障房REIT_2025中报_20250830.pdf，PDF第53页，现金流量表</x:v>
      </x:c>
    </x:row>
    <x:row r="127" ht="42" customHeight="1">
      <x:c r="A127" s="4" t="str">
        <x:v>华夏北京保障房REIT</x:v>
      </x:c>
      <x:c r="B127" s="4" t="str">
        <x:v>2025上半年</x:v>
      </x:c>
      <x:c r="C127" s="4" t="str">
        <x:v>基金个别</x:v>
      </x:c>
      <x:c r="D127" s="4" t="n">
        <x:v>15</x:v>
      </x:c>
      <x:c r="E127" s="4" t="str">
        <x:v>经营活动现金流出小计</x:v>
      </x:c>
      <x:c r="F127" s="8" t="n">
        <x:v>947791302.24</x:v>
      </x:c>
      <x:c r="G127" s="8" t="n">
        <x:v>2361008.28</x:v>
      </x:c>
      <x:c r="H127" s="4" t="str">
        <x:v>947,791,302.24</x:v>
      </x:c>
      <x:c r="I127" s="4" t="str">
        <x:v>2,361,008.28</x:v>
      </x:c>
      <x:c r="J127" s="4" t="str">
        <x:v>华夏北京保障房REIT_2025中报_20250830.pdf，PDF第53页，现金流量表</x:v>
      </x:c>
    </x:row>
    <x:row r="128" ht="42" customHeight="1">
      <x:c r="A128" s="4" t="str">
        <x:v>华夏北京保障房REIT</x:v>
      </x:c>
      <x:c r="B128" s="4" t="str">
        <x:v>2025上半年</x:v>
      </x:c>
      <x:c r="C128" s="4" t="str">
        <x:v>基金个别</x:v>
      </x:c>
      <x:c r="D128" s="4" t="n">
        <x:v>16</x:v>
      </x:c>
      <x:c r="E128" s="4" t="str">
        <x:v>经营活动产生的现金流量净额</x:v>
      </x:c>
      <x:c r="F128" s="8" t="n">
        <x:v>-913262434.07</x:v>
      </x:c>
      <x:c r="G128" s="8" t="n">
        <x:v>30287275.4</x:v>
      </x:c>
      <x:c r="H128" s="4" t="str">
        <x:v>-913,262,434.07</x:v>
      </x:c>
      <x:c r="I128" s="4" t="str">
        <x:v>30,287,275.40</x:v>
      </x:c>
      <x:c r="J128" s="4" t="str">
        <x:v>华夏北京保障房REIT_2025中报_20250830.pdf，PDF第53页，现金流量表</x:v>
      </x:c>
    </x:row>
    <x:row r="129" ht="42" customHeight="1">
      <x:c r="A129" s="4" t="str">
        <x:v>华夏北京保障房REIT</x:v>
      </x:c>
      <x:c r="B129" s="4" t="str">
        <x:v>2025上半年</x:v>
      </x:c>
      <x:c r="C129" s="4" t="str">
        <x:v>基金个别</x:v>
      </x:c>
      <x:c r="D129" s="4" t="n">
        <x:v>17</x:v>
      </x:c>
      <x:c r="E129" s="4" t="str">
        <x:v>14.认购／申购收到的现金</x:v>
      </x:c>
      <x:c r="F129" s="8" t="n">
        <x:v>946199997.98</x:v>
      </x:c>
      <x:c r="G129" s="8" t="n">
        <x:v>0</x:v>
      </x:c>
      <x:c r="H129" s="4" t="str">
        <x:v>946,199,997.98</x:v>
      </x:c>
      <x:c r="I129" s="4" t="str">
        <x:v>-</x:v>
      </x:c>
      <x:c r="J129" s="4" t="str">
        <x:v>华夏北京保障房REIT_2025中报_20250830.pdf，PDF第53页，现金流量表</x:v>
      </x:c>
    </x:row>
    <x:row r="130" ht="42" customHeight="1">
      <x:c r="A130" s="4" t="str">
        <x:v>华夏北京保障房REIT</x:v>
      </x:c>
      <x:c r="B130" s="4" t="str">
        <x:v>2025上半年</x:v>
      </x:c>
      <x:c r="C130" s="4" t="str">
        <x:v>基金个别</x:v>
      </x:c>
      <x:c r="D130" s="4" t="n">
        <x:v>18</x:v>
      </x:c>
      <x:c r="E130" s="4" t="str">
        <x:v>15.收到其他与筹资活动有关的现金</x:v>
      </x:c>
      <x:c r="F130" s="8" t="n">
        <x:v>0</x:v>
      </x:c>
      <x:c r="G130" s="8" t="n">
        <x:v>0</x:v>
      </x:c>
      <x:c r="H130" s="4" t="str">
        <x:v>-</x:v>
      </x:c>
      <x:c r="I130" s="4" t="str">
        <x:v>-</x:v>
      </x:c>
      <x:c r="J130" s="4" t="str">
        <x:v>华夏北京保障房REIT_2025中报_20250830.pdf，PDF第53页，现金流量表</x:v>
      </x:c>
    </x:row>
    <x:row r="131" ht="42" customHeight="1">
      <x:c r="A131" s="4" t="str">
        <x:v>华夏北京保障房REIT</x:v>
      </x:c>
      <x:c r="B131" s="4" t="str">
        <x:v>2025上半年</x:v>
      </x:c>
      <x:c r="C131" s="4" t="str">
        <x:v>基金个别</x:v>
      </x:c>
      <x:c r="D131" s="4" t="n">
        <x:v>19</x:v>
      </x:c>
      <x:c r="E131" s="4" t="str">
        <x:v>筹资活动现金流入小计</x:v>
      </x:c>
      <x:c r="F131" s="8" t="n">
        <x:v>946199997.98</x:v>
      </x:c>
      <x:c r="G131" s="8" t="n">
        <x:v>0</x:v>
      </x:c>
      <x:c r="H131" s="4" t="str">
        <x:v>946,199,997.98</x:v>
      </x:c>
      <x:c r="I131" s="4" t="str">
        <x:v>-</x:v>
      </x:c>
      <x:c r="J131" s="4" t="str">
        <x:v>华夏北京保障房REIT_2025中报_20250830.pdf，PDF第53页，现金流量表</x:v>
      </x:c>
    </x:row>
    <x:row r="132" ht="42" customHeight="1">
      <x:c r="A132" s="4" t="str">
        <x:v>华夏北京保障房REIT</x:v>
      </x:c>
      <x:c r="B132" s="4" t="str">
        <x:v>2025上半年</x:v>
      </x:c>
      <x:c r="C132" s="4" t="str">
        <x:v>基金个别</x:v>
      </x:c>
      <x:c r="D132" s="4" t="n">
        <x:v>20</x:v>
      </x:c>
      <x:c r="E132" s="4" t="str">
        <x:v>16.赎回支付的现金</x:v>
      </x:c>
      <x:c r="F132" s="8" t="n">
        <x:v>0</x:v>
      </x:c>
      <x:c r="G132" s="8" t="n">
        <x:v>0</x:v>
      </x:c>
      <x:c r="H132" s="4" t="str">
        <x:v>-</x:v>
      </x:c>
      <x:c r="I132" s="4" t="str">
        <x:v>-</x:v>
      </x:c>
      <x:c r="J132" s="4" t="str">
        <x:v>华夏北京保障房REIT_2025中报_20250830.pdf，PDF第53页，现金流量表</x:v>
      </x:c>
    </x:row>
    <x:row r="133" ht="42" customHeight="1">
      <x:c r="A133" s="4" t="str">
        <x:v>华夏北京保障房REIT</x:v>
      </x:c>
      <x:c r="B133" s="4" t="str">
        <x:v>2025上半年</x:v>
      </x:c>
      <x:c r="C133" s="4" t="str">
        <x:v>基金个别</x:v>
      </x:c>
      <x:c r="D133" s="4" t="n">
        <x:v>21</x:v>
      </x:c>
      <x:c r="E133" s="4" t="str">
        <x:v>17.偿付利息支付的现金</x:v>
      </x:c>
      <x:c r="F133" s="8" t="n">
        <x:v>0</x:v>
      </x:c>
      <x:c r="G133" s="8" t="n">
        <x:v>0</x:v>
      </x:c>
      <x:c r="H133" s="4" t="str">
        <x:v>-</x:v>
      </x:c>
      <x:c r="I133" s="4" t="str">
        <x:v>-</x:v>
      </x:c>
      <x:c r="J133" s="4" t="str">
        <x:v>华夏北京保障房REIT_2025中报_20250830.pdf，PDF第53页，现金流量表</x:v>
      </x:c>
    </x:row>
    <x:row r="134" ht="42" customHeight="1">
      <x:c r="A134" s="4" t="str">
        <x:v>华夏北京保障房REIT</x:v>
      </x:c>
      <x:c r="B134" s="4" t="str">
        <x:v>2025上半年</x:v>
      </x:c>
      <x:c r="C134" s="4" t="str">
        <x:v>基金个别</x:v>
      </x:c>
      <x:c r="D134" s="4" t="n">
        <x:v>22</x:v>
      </x:c>
      <x:c r="E134" s="4" t="str">
        <x:v>18.分配支付的现金</x:v>
      </x:c>
      <x:c r="F134" s="8" t="n">
        <x:v>27020015.85</x:v>
      </x:c>
      <x:c r="G134" s="8" t="n">
        <x:v>27530029.16</x:v>
      </x:c>
      <x:c r="H134" s="4" t="str">
        <x:v>27,020,015.85</x:v>
      </x:c>
      <x:c r="I134" s="4" t="str">
        <x:v>27,530,029.16</x:v>
      </x:c>
      <x:c r="J134" s="4" t="str">
        <x:v>华夏北京保障房REIT_2025中报_20250830.pdf，PDF第53页，现金流量表</x:v>
      </x:c>
    </x:row>
    <x:row r="135" ht="42" customHeight="1">
      <x:c r="A135" s="4" t="str">
        <x:v>华夏北京保障房REIT</x:v>
      </x:c>
      <x:c r="B135" s="4" t="str">
        <x:v>2025上半年</x:v>
      </x:c>
      <x:c r="C135" s="4" t="str">
        <x:v>基金个别</x:v>
      </x:c>
      <x:c r="D135" s="4" t="n">
        <x:v>23</x:v>
      </x:c>
      <x:c r="E135" s="4" t="str">
        <x:v>19.支付其他与筹资活动有关的现金</x:v>
      </x:c>
      <x:c r="F135" s="8" t="n">
        <x:v>0</x:v>
      </x:c>
      <x:c r="G135" s="8" t="n">
        <x:v>0</x:v>
      </x:c>
      <x:c r="H135" s="4" t="str">
        <x:v>-</x:v>
      </x:c>
      <x:c r="I135" s="4" t="str">
        <x:v>-</x:v>
      </x:c>
      <x:c r="J135" s="4" t="str">
        <x:v>华夏北京保障房REIT_2025中报_20250830.pdf，PDF第53页，现金流量表</x:v>
      </x:c>
    </x:row>
    <x:row r="136" ht="42" customHeight="1">
      <x:c r="A136" s="4" t="str">
        <x:v>华夏北京保障房REIT</x:v>
      </x:c>
      <x:c r="B136" s="4" t="str">
        <x:v>2025上半年</x:v>
      </x:c>
      <x:c r="C136" s="4" t="str">
        <x:v>基金个别</x:v>
      </x:c>
      <x:c r="D136" s="4" t="n">
        <x:v>24</x:v>
      </x:c>
      <x:c r="E136" s="4" t="str">
        <x:v>筹资活动现金流出小计</x:v>
      </x:c>
      <x:c r="F136" s="8" t="n">
        <x:v>27020015.85</x:v>
      </x:c>
      <x:c r="G136" s="8" t="n">
        <x:v>27530029.16</x:v>
      </x:c>
      <x:c r="H136" s="4" t="str">
        <x:v>27,020,015.85</x:v>
      </x:c>
      <x:c r="I136" s="4" t="str">
        <x:v>27,530,029.16</x:v>
      </x:c>
      <x:c r="J136" s="4" t="str">
        <x:v>华夏北京保障房REIT_2025中报_20250830.pdf，PDF第53页，现金流量表</x:v>
      </x:c>
    </x:row>
    <x:row r="137" ht="42" customHeight="1">
      <x:c r="A137" s="4" t="str">
        <x:v>华夏北京保障房REIT</x:v>
      </x:c>
      <x:c r="B137" s="4" t="str">
        <x:v>2025上半年</x:v>
      </x:c>
      <x:c r="C137" s="4" t="str">
        <x:v>基金个别</x:v>
      </x:c>
      <x:c r="D137" s="4" t="n">
        <x:v>25</x:v>
      </x:c>
      <x:c r="E137" s="4" t="str">
        <x:v>筹资活动产生的现金流量净额</x:v>
      </x:c>
      <x:c r="F137" s="8" t="n">
        <x:v>919179982.13</x:v>
      </x:c>
      <x:c r="G137" s="8" t="n">
        <x:v>-27530029.16</x:v>
      </x:c>
      <x:c r="H137" s="4" t="str">
        <x:v>919,179,982.13</x:v>
      </x:c>
      <x:c r="I137" s="4" t="str">
        <x:v>-27,530,029.16</x:v>
      </x:c>
      <x:c r="J137" s="4" t="str">
        <x:v>华夏北京保障房REIT_2025中报_20250830.pdf，PDF第53页，现金流量表</x:v>
      </x:c>
    </x:row>
    <x:row r="138" ht="42" customHeight="1">
      <x:c r="A138" s="4" t="str">
        <x:v>华夏北京保障房REIT</x:v>
      </x:c>
      <x:c r="B138" s="4" t="str">
        <x:v>2025上半年</x:v>
      </x:c>
      <x:c r="C138" s="4" t="str">
        <x:v>基金个别</x:v>
      </x:c>
      <x:c r="D138" s="4" t="n">
        <x:v>26</x:v>
      </x:c>
      <x:c r="E138" s="4" t="str">
        <x:v>三、汇率变动对现金及现金等价物的影响</x:v>
      </x:c>
      <x:c r="F138" s="8" t="n">
        <x:v>0</x:v>
      </x:c>
      <x:c r="G138" s="8" t="n">
        <x:v>0</x:v>
      </x:c>
      <x:c r="H138" s="4" t="str">
        <x:v>-</x:v>
      </x:c>
      <x:c r="I138" s="4" t="str">
        <x:v>-</x:v>
      </x:c>
      <x:c r="J138" s="4" t="str">
        <x:v>华夏北京保障房REIT_2025中报_20250830.pdf，PDF第53页，现金流量表</x:v>
      </x:c>
    </x:row>
    <x:row r="139" ht="42" customHeight="1">
      <x:c r="A139" s="4" t="str">
        <x:v>华夏北京保障房REIT</x:v>
      </x:c>
      <x:c r="B139" s="4" t="str">
        <x:v>2025上半年</x:v>
      </x:c>
      <x:c r="C139" s="4" t="str">
        <x:v>基金个别</x:v>
      </x:c>
      <x:c r="D139" s="4" t="n">
        <x:v>27</x:v>
      </x:c>
      <x:c r="E139" s="4" t="str">
        <x:v>四、现金及现金等价物净增加额</x:v>
      </x:c>
      <x:c r="F139" s="8" t="n">
        <x:v>5917548.06</x:v>
      </x:c>
      <x:c r="G139" s="8" t="n">
        <x:v>2757246.24</x:v>
      </x:c>
      <x:c r="H139" s="4" t="str">
        <x:v>5,917,548.06</x:v>
      </x:c>
      <x:c r="I139" s="4" t="str">
        <x:v>2,757,246.24</x:v>
      </x:c>
      <x:c r="J139" s="4" t="str">
        <x:v>华夏北京保障房REIT_2025中报_20250830.pdf，PDF第53页，现金流量表</x:v>
      </x:c>
    </x:row>
    <x:row r="140" ht="42" customHeight="1">
      <x:c r="A140" s="4" t="str">
        <x:v>华夏北京保障房REIT</x:v>
      </x:c>
      <x:c r="B140" s="4" t="str">
        <x:v>2025上半年</x:v>
      </x:c>
      <x:c r="C140" s="4" t="str">
        <x:v>基金个别</x:v>
      </x:c>
      <x:c r="D140" s="4" t="n">
        <x:v>28</x:v>
      </x:c>
      <x:c r="E140" s="4" t="str">
        <x:v>加：期初现金及现金等价物余额</x:v>
      </x:c>
      <x:c r="F140" s="8" t="n">
        <x:v>1930963.15</x:v>
      </x:c>
      <x:c r="G140" s="8" t="n">
        <x:v>3142522.61</x:v>
      </x:c>
      <x:c r="H140" s="4" t="str">
        <x:v>1,930,963.15</x:v>
      </x:c>
      <x:c r="I140" s="4" t="str">
        <x:v>3,142,522.61</x:v>
      </x:c>
      <x:c r="J140" s="4" t="str">
        <x:v>华夏北京保障房REIT_2025中报_20250830.pdf，PDF第53页，现金流量表</x:v>
      </x:c>
    </x:row>
    <x:row r="141" ht="42" customHeight="1">
      <x:c r="A141" s="4" t="str">
        <x:v>华夏北京保障房REIT</x:v>
      </x:c>
      <x:c r="B141" s="4" t="str">
        <x:v>2025上半年</x:v>
      </x:c>
      <x:c r="C141" s="4" t="str">
        <x:v>基金个别</x:v>
      </x:c>
      <x:c r="D141" s="4" t="n">
        <x:v>29</x:v>
      </x:c>
      <x:c r="E141" s="4" t="str">
        <x:v>五、期末现金及现金等价物余额</x:v>
      </x:c>
      <x:c r="F141" s="8" t="n">
        <x:v>7848511.21</x:v>
      </x:c>
      <x:c r="G141" s="8" t="n">
        <x:v>5899768.85</x:v>
      </x:c>
      <x:c r="H141" s="4" t="str">
        <x:v>7,848,511.21</x:v>
      </x:c>
      <x:c r="I141" s="4" t="str">
        <x:v>5,899,768.85</x:v>
      </x:c>
      <x:c r="J141" s="4" t="str">
        <x:v>华夏北京保障房REIT_2025中报_20250830.pdf，PDF第53页，现金流量表</x:v>
      </x:c>
    </x:row>
    <x:row r="142" ht="32" customHeight="1">
      <x:c r="A142" s="4" t="str">
        <x:v>华夏华润商业REIT</x:v>
      </x:c>
      <x:c r="B142" s="4" t="str">
        <x:v>2024年度</x:v>
      </x:c>
      <x:c r="C142" s="4" t="str">
        <x:v>合并</x:v>
      </x:c>
      <x:c r="D142" s="4" t="n">
        <x:v>1</x:v>
      </x:c>
      <x:c r="E142" s="4" t="str">
        <x:v>1.销售商品、提供劳务收到的现金</x:v>
      </x:c>
      <x:c r="F142" s="8" t="n">
        <x:v>700521123.12</x:v>
      </x:c>
      <x:c r="G142" s="8"/>
      <x:c r="H142" s="4" t="str">
        <x:v>700,521,123.12</x:v>
      </x:c>
      <x:c r="I142" s="4" t="str">
        <x:v>原表未列比较列</x:v>
      </x:c>
      <x:c r="J142" s="4" t="str">
        <x:v>华夏华润商业REIT_2024年报_20250331.pdf，PDF第45页，现金流量表</x:v>
      </x:c>
    </x:row>
    <x:row r="143" ht="32" customHeight="1">
      <x:c r="A143" s="4" t="str">
        <x:v>华夏华润商业REIT</x:v>
      </x:c>
      <x:c r="B143" s="4" t="str">
        <x:v>2024年度</x:v>
      </x:c>
      <x:c r="C143" s="4" t="str">
        <x:v>合并</x:v>
      </x:c>
      <x:c r="D143" s="4" t="n">
        <x:v>2</x:v>
      </x:c>
      <x:c r="E143" s="4" t="str">
        <x:v>2.处置证券投资收到的现金净额</x:v>
      </x:c>
      <x:c r="F143" s="8" t="n">
        <x:v>0</x:v>
      </x:c>
      <x:c r="G143" s="8"/>
      <x:c r="H143" s="4" t="str">
        <x:v>-</x:v>
      </x:c>
      <x:c r="I143" s="4" t="str">
        <x:v>原表未列比较列</x:v>
      </x:c>
      <x:c r="J143" s="4" t="str">
        <x:v>华夏华润商业REIT_2024年报_20250331.pdf，PDF第45页，现金流量表</x:v>
      </x:c>
    </x:row>
    <x:row r="144" ht="32" customHeight="1">
      <x:c r="A144" s="4" t="str">
        <x:v>华夏华润商业REIT</x:v>
      </x:c>
      <x:c r="B144" s="4" t="str">
        <x:v>2024年度</x:v>
      </x:c>
      <x:c r="C144" s="4" t="str">
        <x:v>合并</x:v>
      </x:c>
      <x:c r="D144" s="4" t="n">
        <x:v>3</x:v>
      </x:c>
      <x:c r="E144" s="4" t="str">
        <x:v>3.买入返售金融资产净减少额</x:v>
      </x:c>
      <x:c r="F144" s="8" t="n">
        <x:v>0</x:v>
      </x:c>
      <x:c r="G144" s="8"/>
      <x:c r="H144" s="4" t="str">
        <x:v>-</x:v>
      </x:c>
      <x:c r="I144" s="4" t="str">
        <x:v>原表未列比较列</x:v>
      </x:c>
      <x:c r="J144" s="4" t="str">
        <x:v>华夏华润商业REIT_2024年报_20250331.pdf，PDF第45页，现金流量表</x:v>
      </x:c>
    </x:row>
    <x:row r="145" ht="32" customHeight="1">
      <x:c r="A145" s="4" t="str">
        <x:v>华夏华润商业REIT</x:v>
      </x:c>
      <x:c r="B145" s="4" t="str">
        <x:v>2024年度</x:v>
      </x:c>
      <x:c r="C145" s="4" t="str">
        <x:v>合并</x:v>
      </x:c>
      <x:c r="D145" s="4" t="n">
        <x:v>4</x:v>
      </x:c>
      <x:c r="E145" s="4" t="str">
        <x:v>4.卖出回购金融资产款净增加额</x:v>
      </x:c>
      <x:c r="F145" s="8" t="n">
        <x:v>0</x:v>
      </x:c>
      <x:c r="G145" s="8"/>
      <x:c r="H145" s="4" t="str">
        <x:v>-</x:v>
      </x:c>
      <x:c r="I145" s="4" t="str">
        <x:v>原表未列比较列</x:v>
      </x:c>
      <x:c r="J145" s="4" t="str">
        <x:v>华夏华润商业REIT_2024年报_20250331.pdf，PDF第45页，现金流量表</x:v>
      </x:c>
    </x:row>
    <x:row r="146" ht="32" customHeight="1">
      <x:c r="A146" s="4" t="str">
        <x:v>华夏华润商业REIT</x:v>
      </x:c>
      <x:c r="B146" s="4" t="str">
        <x:v>2024年度</x:v>
      </x:c>
      <x:c r="C146" s="4" t="str">
        <x:v>合并</x:v>
      </x:c>
      <x:c r="D146" s="4" t="n">
        <x:v>5</x:v>
      </x:c>
      <x:c r="E146" s="4" t="str">
        <x:v>5.取得利息收入收到的现金</x:v>
      </x:c>
      <x:c r="F146" s="8" t="n">
        <x:v>10643227.56</x:v>
      </x:c>
      <x:c r="G146" s="8"/>
      <x:c r="H146" s="4" t="str">
        <x:v>10,643,227.56</x:v>
      </x:c>
      <x:c r="I146" s="4" t="str">
        <x:v>原表未列比较列</x:v>
      </x:c>
      <x:c r="J146" s="4" t="str">
        <x:v>华夏华润商业REIT_2024年报_20250331.pdf，PDF第45页，现金流量表</x:v>
      </x:c>
    </x:row>
    <x:row r="147" ht="32" customHeight="1">
      <x:c r="A147" s="4" t="str">
        <x:v>华夏华润商业REIT</x:v>
      </x:c>
      <x:c r="B147" s="4" t="str">
        <x:v>2024年度</x:v>
      </x:c>
      <x:c r="C147" s="4" t="str">
        <x:v>合并</x:v>
      </x:c>
      <x:c r="D147" s="4" t="n">
        <x:v>6</x:v>
      </x:c>
      <x:c r="E147" s="4" t="str">
        <x:v>6.收到的税费返还</x:v>
      </x:c>
      <x:c r="F147" s="8" t="n">
        <x:v>0</x:v>
      </x:c>
      <x:c r="G147" s="8"/>
      <x:c r="H147" s="4" t="str">
        <x:v>-</x:v>
      </x:c>
      <x:c r="I147" s="4" t="str">
        <x:v>原表未列比较列</x:v>
      </x:c>
      <x:c r="J147" s="4" t="str">
        <x:v>华夏华润商业REIT_2024年报_20250331.pdf，PDF第45页，现金流量表</x:v>
      </x:c>
    </x:row>
    <x:row r="148" ht="42" customHeight="1">
      <x:c r="A148" s="4" t="str">
        <x:v>华夏华润商业REIT</x:v>
      </x:c>
      <x:c r="B148" s="4" t="str">
        <x:v>2024年度</x:v>
      </x:c>
      <x:c r="C148" s="4" t="str">
        <x:v>合并</x:v>
      </x:c>
      <x:c r="D148" s="4" t="n">
        <x:v>7</x:v>
      </x:c>
      <x:c r="E148" s="4" t="str">
        <x:v>7.收到其他与经营活动有关的现金</x:v>
      </x:c>
      <x:c r="F148" s="8" t="n">
        <x:v>1053653992.34</x:v>
      </x:c>
      <x:c r="G148" s="8"/>
      <x:c r="H148" s="4" t="str">
        <x:v>1,053,653,992.34</x:v>
      </x:c>
      <x:c r="I148" s="4" t="str">
        <x:v>原表未列比较列</x:v>
      </x:c>
      <x:c r="J148" s="4" t="str">
        <x:v>华夏华润商业REIT_2024年报_20250331.pdf，PDF第46页，现金流量表</x:v>
      </x:c>
    </x:row>
    <x:row r="149" ht="42" customHeight="1">
      <x:c r="A149" s="4" t="str">
        <x:v>华夏华润商业REIT</x:v>
      </x:c>
      <x:c r="B149" s="4" t="str">
        <x:v>2024年度</x:v>
      </x:c>
      <x:c r="C149" s="4" t="str">
        <x:v>合并</x:v>
      </x:c>
      <x:c r="D149" s="4" t="n">
        <x:v>8</x:v>
      </x:c>
      <x:c r="E149" s="4" t="str">
        <x:v>经营活动现金流入小计</x:v>
      </x:c>
      <x:c r="F149" s="8" t="n">
        <x:v>1764818343.02</x:v>
      </x:c>
      <x:c r="G149" s="8"/>
      <x:c r="H149" s="4" t="str">
        <x:v>1,764,818,343.02</x:v>
      </x:c>
      <x:c r="I149" s="4" t="str">
        <x:v>原表未列比较列</x:v>
      </x:c>
      <x:c r="J149" s="4" t="str">
        <x:v>华夏华润商业REIT_2024年报_20250331.pdf，PDF第46页，现金流量表</x:v>
      </x:c>
    </x:row>
    <x:row r="150" ht="32" customHeight="1">
      <x:c r="A150" s="4" t="str">
        <x:v>华夏华润商业REIT</x:v>
      </x:c>
      <x:c r="B150" s="4" t="str">
        <x:v>2024年度</x:v>
      </x:c>
      <x:c r="C150" s="4" t="str">
        <x:v>合并</x:v>
      </x:c>
      <x:c r="D150" s="4" t="n">
        <x:v>9</x:v>
      </x:c>
      <x:c r="E150" s="4" t="str">
        <x:v>8.购买商品、接受劳务支付的现金</x:v>
      </x:c>
      <x:c r="F150" s="8" t="n">
        <x:v>165878838.72</x:v>
      </x:c>
      <x:c r="G150" s="8"/>
      <x:c r="H150" s="4" t="str">
        <x:v>165,878,838.72</x:v>
      </x:c>
      <x:c r="I150" s="4" t="str">
        <x:v>原表未列比较列</x:v>
      </x:c>
      <x:c r="J150" s="4" t="str">
        <x:v>华夏华润商业REIT_2024年报_20250331.pdf，PDF第46页，现金流量表</x:v>
      </x:c>
    </x:row>
    <x:row r="151" ht="32" customHeight="1">
      <x:c r="A151" s="4" t="str">
        <x:v>华夏华润商业REIT</x:v>
      </x:c>
      <x:c r="B151" s="4" t="str">
        <x:v>2024年度</x:v>
      </x:c>
      <x:c r="C151" s="4" t="str">
        <x:v>合并</x:v>
      </x:c>
      <x:c r="D151" s="4" t="n">
        <x:v>10</x:v>
      </x:c>
      <x:c r="E151" s="4" t="str">
        <x:v>9.取得证券投资支付的现金净额</x:v>
      </x:c>
      <x:c r="F151" s="8" t="n">
        <x:v>0</x:v>
      </x:c>
      <x:c r="G151" s="8"/>
      <x:c r="H151" s="4" t="str">
        <x:v>-</x:v>
      </x:c>
      <x:c r="I151" s="4" t="str">
        <x:v>原表未列比较列</x:v>
      </x:c>
      <x:c r="J151" s="4" t="str">
        <x:v>华夏华润商业REIT_2024年报_20250331.pdf，PDF第46页，现金流量表</x:v>
      </x:c>
    </x:row>
    <x:row r="152" ht="32" customHeight="1">
      <x:c r="A152" s="4" t="str">
        <x:v>华夏华润商业REIT</x:v>
      </x:c>
      <x:c r="B152" s="4" t="str">
        <x:v>2024年度</x:v>
      </x:c>
      <x:c r="C152" s="4" t="str">
        <x:v>合并</x:v>
      </x:c>
      <x:c r="D152" s="4" t="n">
        <x:v>11</x:v>
      </x:c>
      <x:c r="E152" s="4" t="str">
        <x:v>10.买入返售金融资产净增加额</x:v>
      </x:c>
      <x:c r="F152" s="8" t="n">
        <x:v>0</x:v>
      </x:c>
      <x:c r="G152" s="8"/>
      <x:c r="H152" s="4" t="str">
        <x:v>-</x:v>
      </x:c>
      <x:c r="I152" s="4" t="str">
        <x:v>原表未列比较列</x:v>
      </x:c>
      <x:c r="J152" s="4" t="str">
        <x:v>华夏华润商业REIT_2024年报_20250331.pdf，PDF第46页，现金流量表</x:v>
      </x:c>
    </x:row>
    <x:row r="153" ht="32" customHeight="1">
      <x:c r="A153" s="4" t="str">
        <x:v>华夏华润商业REIT</x:v>
      </x:c>
      <x:c r="B153" s="4" t="str">
        <x:v>2024年度</x:v>
      </x:c>
      <x:c r="C153" s="4" t="str">
        <x:v>合并</x:v>
      </x:c>
      <x:c r="D153" s="4" t="n">
        <x:v>12</x:v>
      </x:c>
      <x:c r="E153" s="4" t="str">
        <x:v>11.卖出回购金融资产款净减少额</x:v>
      </x:c>
      <x:c r="F153" s="8" t="n">
        <x:v>0</x:v>
      </x:c>
      <x:c r="G153" s="8"/>
      <x:c r="H153" s="4" t="str">
        <x:v>-</x:v>
      </x:c>
      <x:c r="I153" s="4" t="str">
        <x:v>原表未列比较列</x:v>
      </x:c>
      <x:c r="J153" s="4" t="str">
        <x:v>华夏华润商业REIT_2024年报_20250331.pdf，PDF第46页，现金流量表</x:v>
      </x:c>
    </x:row>
    <x:row r="154" ht="32" customHeight="1">
      <x:c r="A154" s="4" t="str">
        <x:v>华夏华润商业REIT</x:v>
      </x:c>
      <x:c r="B154" s="4" t="str">
        <x:v>2024年度</x:v>
      </x:c>
      <x:c r="C154" s="4" t="str">
        <x:v>合并</x:v>
      </x:c>
      <x:c r="D154" s="4" t="n">
        <x:v>13</x:v>
      </x:c>
      <x:c r="E154" s="4" t="str">
        <x:v>12.支付给职工以及为职工支付的现金</x:v>
      </x:c>
      <x:c r="F154" s="8" t="n">
        <x:v>0</x:v>
      </x:c>
      <x:c r="G154" s="8"/>
      <x:c r="H154" s="4" t="str">
        <x:v>-</x:v>
      </x:c>
      <x:c r="I154" s="4" t="str">
        <x:v>原表未列比较列</x:v>
      </x:c>
      <x:c r="J154" s="4" t="str">
        <x:v>华夏华润商业REIT_2024年报_20250331.pdf，PDF第46页，现金流量表</x:v>
      </x:c>
    </x:row>
    <x:row r="155" ht="32" customHeight="1">
      <x:c r="A155" s="4" t="str">
        <x:v>华夏华润商业REIT</x:v>
      </x:c>
      <x:c r="B155" s="4" t="str">
        <x:v>2024年度</x:v>
      </x:c>
      <x:c r="C155" s="4" t="str">
        <x:v>合并</x:v>
      </x:c>
      <x:c r="D155" s="4" t="n">
        <x:v>14</x:v>
      </x:c>
      <x:c r="E155" s="4" t="str">
        <x:v>13.支付的各项税费</x:v>
      </x:c>
      <x:c r="F155" s="8" t="n">
        <x:v>101576768.5</x:v>
      </x:c>
      <x:c r="G155" s="8"/>
      <x:c r="H155" s="4" t="str">
        <x:v>101,576,768.50</x:v>
      </x:c>
      <x:c r="I155" s="4" t="str">
        <x:v>原表未列比较列</x:v>
      </x:c>
      <x:c r="J155" s="4" t="str">
        <x:v>华夏华润商业REIT_2024年报_20250331.pdf，PDF第46页，现金流量表</x:v>
      </x:c>
    </x:row>
    <x:row r="156" ht="42" customHeight="1">
      <x:c r="A156" s="4" t="str">
        <x:v>华夏华润商业REIT</x:v>
      </x:c>
      <x:c r="B156" s="4" t="str">
        <x:v>2024年度</x:v>
      </x:c>
      <x:c r="C156" s="4" t="str">
        <x:v>合并</x:v>
      </x:c>
      <x:c r="D156" s="4" t="n">
        <x:v>15</x:v>
      </x:c>
      <x:c r="E156" s="4" t="str">
        <x:v>14.支付其他与经营活动有关的现金</x:v>
      </x:c>
      <x:c r="F156" s="8" t="n">
        <x:v>1161633603.36</x:v>
      </x:c>
      <x:c r="G156" s="8"/>
      <x:c r="H156" s="4" t="str">
        <x:v>1,161,633,603.36</x:v>
      </x:c>
      <x:c r="I156" s="4" t="str">
        <x:v>原表未列比较列</x:v>
      </x:c>
      <x:c r="J156" s="4" t="str">
        <x:v>华夏华润商业REIT_2024年报_20250331.pdf，PDF第46页，现金流量表</x:v>
      </x:c>
    </x:row>
    <x:row r="157" ht="42" customHeight="1">
      <x:c r="A157" s="4" t="str">
        <x:v>华夏华润商业REIT</x:v>
      </x:c>
      <x:c r="B157" s="4" t="str">
        <x:v>2024年度</x:v>
      </x:c>
      <x:c r="C157" s="4" t="str">
        <x:v>合并</x:v>
      </x:c>
      <x:c r="D157" s="4" t="n">
        <x:v>16</x:v>
      </x:c>
      <x:c r="E157" s="4" t="str">
        <x:v>经营活动现金流出小计</x:v>
      </x:c>
      <x:c r="F157" s="8" t="n">
        <x:v>1429089210.58</x:v>
      </x:c>
      <x:c r="G157" s="8"/>
      <x:c r="H157" s="4" t="str">
        <x:v>1,429,089,210.58</x:v>
      </x:c>
      <x:c r="I157" s="4" t="str">
        <x:v>原表未列比较列</x:v>
      </x:c>
      <x:c r="J157" s="4" t="str">
        <x:v>华夏华润商业REIT_2024年报_20250331.pdf，PDF第46页，现金流量表</x:v>
      </x:c>
    </x:row>
    <x:row r="158" ht="32" customHeight="1">
      <x:c r="A158" s="4" t="str">
        <x:v>华夏华润商业REIT</x:v>
      </x:c>
      <x:c r="B158" s="4" t="str">
        <x:v>2024年度</x:v>
      </x:c>
      <x:c r="C158" s="4" t="str">
        <x:v>合并</x:v>
      </x:c>
      <x:c r="D158" s="4" t="n">
        <x:v>17</x:v>
      </x:c>
      <x:c r="E158" s="4" t="str">
        <x:v>经营活动产生的现金流量净额</x:v>
      </x:c>
      <x:c r="F158" s="8" t="n">
        <x:v>335729132.44</x:v>
      </x:c>
      <x:c r="G158" s="8"/>
      <x:c r="H158" s="4" t="str">
        <x:v>335,729,132.44</x:v>
      </x:c>
      <x:c r="I158" s="4" t="str">
        <x:v>原表未列比较列</x:v>
      </x:c>
      <x:c r="J158" s="4" t="str">
        <x:v>华夏华润商业REIT_2024年报_20250331.pdf，PDF第46页，现金流量表</x:v>
      </x:c>
    </x:row>
    <x:row r="159" ht="32" customHeight="1">
      <x:c r="A159" s="4" t="str">
        <x:v>华夏华润商业REIT</x:v>
      </x:c>
      <x:c r="B159" s="4" t="str">
        <x:v>2024年度</x:v>
      </x:c>
      <x:c r="C159" s="4" t="str">
        <x:v>合并</x:v>
      </x:c>
      <x:c r="D159" s="4" t="n">
        <x:v>18</x:v>
      </x:c>
      <x:c r="E159" s="4" t="str">
        <x:v>15.处置固定资产、无形资产和其他长期资产收到的现金净额</x:v>
      </x:c>
      <x:c r="F159" s="8" t="n">
        <x:v>69448.58</x:v>
      </x:c>
      <x:c r="G159" s="8"/>
      <x:c r="H159" s="4" t="str">
        <x:v>69,448.58</x:v>
      </x:c>
      <x:c r="I159" s="4" t="str">
        <x:v>原表未列比较列</x:v>
      </x:c>
      <x:c r="J159" s="4" t="str">
        <x:v>华夏华润商业REIT_2024年报_20250331.pdf，PDF第46页，现金流量表</x:v>
      </x:c>
    </x:row>
    <x:row r="160" ht="32" customHeight="1">
      <x:c r="A160" s="4" t="str">
        <x:v>华夏华润商业REIT</x:v>
      </x:c>
      <x:c r="B160" s="4" t="str">
        <x:v>2024年度</x:v>
      </x:c>
      <x:c r="C160" s="4" t="str">
        <x:v>合并</x:v>
      </x:c>
      <x:c r="D160" s="4" t="n">
        <x:v>19</x:v>
      </x:c>
      <x:c r="E160" s="4" t="str">
        <x:v>16.处置子公司及其他营业单位收到的现金净额</x:v>
      </x:c>
      <x:c r="F160" s="8" t="n">
        <x:v>0</x:v>
      </x:c>
      <x:c r="G160" s="8"/>
      <x:c r="H160" s="4" t="str">
        <x:v>-</x:v>
      </x:c>
      <x:c r="I160" s="4" t="str">
        <x:v>原表未列比较列</x:v>
      </x:c>
      <x:c r="J160" s="4" t="str">
        <x:v>华夏华润商业REIT_2024年报_20250331.pdf，PDF第46页，现金流量表</x:v>
      </x:c>
    </x:row>
    <x:row r="161" ht="32" customHeight="1">
      <x:c r="A161" s="4" t="str">
        <x:v>华夏华润商业REIT</x:v>
      </x:c>
      <x:c r="B161" s="4" t="str">
        <x:v>2024年度</x:v>
      </x:c>
      <x:c r="C161" s="4" t="str">
        <x:v>合并</x:v>
      </x:c>
      <x:c r="D161" s="4" t="n">
        <x:v>20</x:v>
      </x:c>
      <x:c r="E161" s="4" t="str">
        <x:v>17.收到其他与投资活动有关的现金</x:v>
      </x:c>
      <x:c r="F161" s="8" t="n">
        <x:v>0</x:v>
      </x:c>
      <x:c r="G161" s="8"/>
      <x:c r="H161" s="4" t="str">
        <x:v>-</x:v>
      </x:c>
      <x:c r="I161" s="4" t="str">
        <x:v>原表未列比较列</x:v>
      </x:c>
      <x:c r="J161" s="4" t="str">
        <x:v>华夏华润商业REIT_2024年报_20250331.pdf，PDF第46页，现金流量表</x:v>
      </x:c>
    </x:row>
    <x:row r="162" ht="32" customHeight="1">
      <x:c r="A162" s="4" t="str">
        <x:v>华夏华润商业REIT</x:v>
      </x:c>
      <x:c r="B162" s="4" t="str">
        <x:v>2024年度</x:v>
      </x:c>
      <x:c r="C162" s="4" t="str">
        <x:v>合并</x:v>
      </x:c>
      <x:c r="D162" s="4" t="n">
        <x:v>21</x:v>
      </x:c>
      <x:c r="E162" s="4" t="str">
        <x:v>投资活动现金流入小计</x:v>
      </x:c>
      <x:c r="F162" s="8" t="n">
        <x:v>69448.58</x:v>
      </x:c>
      <x:c r="G162" s="8"/>
      <x:c r="H162" s="4" t="str">
        <x:v>69,448.58</x:v>
      </x:c>
      <x:c r="I162" s="4" t="str">
        <x:v>原表未列比较列</x:v>
      </x:c>
      <x:c r="J162" s="4" t="str">
        <x:v>华夏华润商业REIT_2024年报_20250331.pdf，PDF第46页，现金流量表</x:v>
      </x:c>
    </x:row>
    <x:row r="163" ht="32" customHeight="1">
      <x:c r="A163" s="4" t="str">
        <x:v>华夏华润商业REIT</x:v>
      </x:c>
      <x:c r="B163" s="4" t="str">
        <x:v>2024年度</x:v>
      </x:c>
      <x:c r="C163" s="4" t="str">
        <x:v>合并</x:v>
      </x:c>
      <x:c r="D163" s="4" t="n">
        <x:v>22</x:v>
      </x:c>
      <x:c r="E163" s="4" t="str">
        <x:v>18.购建固定资产、无形资产和其他长期资产支付的现金</x:v>
      </x:c>
      <x:c r="F163" s="8" t="n">
        <x:v>54163768.62</x:v>
      </x:c>
      <x:c r="G163" s="8"/>
      <x:c r="H163" s="4" t="str">
        <x:v>54,163,768.62</x:v>
      </x:c>
      <x:c r="I163" s="4" t="str">
        <x:v>原表未列比较列</x:v>
      </x:c>
      <x:c r="J163" s="4" t="str">
        <x:v>华夏华润商业REIT_2024年报_20250331.pdf，PDF第46页，现金流量表</x:v>
      </x:c>
    </x:row>
    <x:row r="164" ht="42" customHeight="1">
      <x:c r="A164" s="4" t="str">
        <x:v>华夏华润商业REIT</x:v>
      </x:c>
      <x:c r="B164" s="4" t="str">
        <x:v>2024年度</x:v>
      </x:c>
      <x:c r="C164" s="4" t="str">
        <x:v>合并</x:v>
      </x:c>
      <x:c r="D164" s="4" t="n">
        <x:v>23</x:v>
      </x:c>
      <x:c r="E164" s="4" t="str">
        <x:v>19.取得子公司及其他营业单位支付的现金净额</x:v>
      </x:c>
      <x:c r="F164" s="8" t="n">
        <x:v>5520710998.92</x:v>
      </x:c>
      <x:c r="G164" s="8"/>
      <x:c r="H164" s="4" t="str">
        <x:v>5,520,710,998.92</x:v>
      </x:c>
      <x:c r="I164" s="4" t="str">
        <x:v>原表未列比较列</x:v>
      </x:c>
      <x:c r="J164" s="4" t="str">
        <x:v>华夏华润商业REIT_2024年报_20250331.pdf，PDF第46页，现金流量表</x:v>
      </x:c>
    </x:row>
    <x:row r="165" ht="32" customHeight="1">
      <x:c r="A165" s="4" t="str">
        <x:v>华夏华润商业REIT</x:v>
      </x:c>
      <x:c r="B165" s="4" t="str">
        <x:v>2024年度</x:v>
      </x:c>
      <x:c r="C165" s="4" t="str">
        <x:v>合并</x:v>
      </x:c>
      <x:c r="D165" s="4" t="n">
        <x:v>24</x:v>
      </x:c>
      <x:c r="E165" s="4" t="str">
        <x:v>20.支付其他与投资活动有关的现金</x:v>
      </x:c>
      <x:c r="F165" s="8" t="n">
        <x:v>280366076.38</x:v>
      </x:c>
      <x:c r="G165" s="8"/>
      <x:c r="H165" s="4" t="str">
        <x:v>280,366,076.38</x:v>
      </x:c>
      <x:c r="I165" s="4" t="str">
        <x:v>原表未列比较列</x:v>
      </x:c>
      <x:c r="J165" s="4" t="str">
        <x:v>华夏华润商业REIT_2024年报_20250331.pdf，PDF第46页，现金流量表</x:v>
      </x:c>
    </x:row>
    <x:row r="166" ht="42" customHeight="1">
      <x:c r="A166" s="4" t="str">
        <x:v>华夏华润商业REIT</x:v>
      </x:c>
      <x:c r="B166" s="4" t="str">
        <x:v>2024年度</x:v>
      </x:c>
      <x:c r="C166" s="4" t="str">
        <x:v>合并</x:v>
      </x:c>
      <x:c r="D166" s="4" t="n">
        <x:v>25</x:v>
      </x:c>
      <x:c r="E166" s="4" t="str">
        <x:v>投资活动现金流出小计</x:v>
      </x:c>
      <x:c r="F166" s="8" t="n">
        <x:v>5855240843.92</x:v>
      </x:c>
      <x:c r="G166" s="8"/>
      <x:c r="H166" s="4" t="str">
        <x:v>5,855,240,843.92</x:v>
      </x:c>
      <x:c r="I166" s="4" t="str">
        <x:v>原表未列比较列</x:v>
      </x:c>
      <x:c r="J166" s="4" t="str">
        <x:v>华夏华润商业REIT_2024年报_20250331.pdf，PDF第46页，现金流量表</x:v>
      </x:c>
    </x:row>
    <x:row r="167" ht="42" customHeight="1">
      <x:c r="A167" s="4" t="str">
        <x:v>华夏华润商业REIT</x:v>
      </x:c>
      <x:c r="B167" s="4" t="str">
        <x:v>2024年度</x:v>
      </x:c>
      <x:c r="C167" s="4" t="str">
        <x:v>合并</x:v>
      </x:c>
      <x:c r="D167" s="4" t="n">
        <x:v>26</x:v>
      </x:c>
      <x:c r="E167" s="4" t="str">
        <x:v>投资活动产生的现金流量净额</x:v>
      </x:c>
      <x:c r="F167" s="8" t="n">
        <x:v>-5855171395.34</x:v>
      </x:c>
      <x:c r="G167" s="8"/>
      <x:c r="H167" s="4" t="str">
        <x:v>-5,855,171,395.34</x:v>
      </x:c>
      <x:c r="I167" s="4" t="str">
        <x:v>原表未列比较列</x:v>
      </x:c>
      <x:c r="J167" s="4" t="str">
        <x:v>华夏华润商业REIT_2024年报_20250331.pdf，PDF第46页，现金流量表</x:v>
      </x:c>
    </x:row>
    <x:row r="168" ht="32" customHeight="1">
      <x:c r="A168" s="4" t="str">
        <x:v>华夏华润商业REIT</x:v>
      </x:c>
      <x:c r="B168" s="4" t="str">
        <x:v>2024年度</x:v>
      </x:c>
      <x:c r="C168" s="4" t="str">
        <x:v>合并</x:v>
      </x:c>
      <x:c r="D168" s="4" t="n">
        <x:v>27</x:v>
      </x:c>
      <x:c r="E168" s="4" t="str">
        <x:v>21.认购/申购收到的现金</x:v>
      </x:c>
      <x:c r="F168" s="8" t="n">
        <x:v>0</x:v>
      </x:c>
      <x:c r="G168" s="8"/>
      <x:c r="H168" s="4" t="str">
        <x:v>-</x:v>
      </x:c>
      <x:c r="I168" s="4" t="str">
        <x:v>原表未列比较列</x:v>
      </x:c>
      <x:c r="J168" s="4" t="str">
        <x:v>华夏华润商业REIT_2024年报_20250331.pdf，PDF第46页，现金流量表</x:v>
      </x:c>
    </x:row>
    <x:row r="169" ht="42" customHeight="1">
      <x:c r="A169" s="4" t="str">
        <x:v>华夏华润商业REIT</x:v>
      </x:c>
      <x:c r="B169" s="4" t="str">
        <x:v>2024年度</x:v>
      </x:c>
      <x:c r="C169" s="4" t="str">
        <x:v>合并</x:v>
      </x:c>
      <x:c r="D169" s="4" t="n">
        <x:v>28</x:v>
      </x:c>
      <x:c r="E169" s="4" t="str">
        <x:v>22.取得借款收到的现金</x:v>
      </x:c>
      <x:c r="F169" s="8" t="n">
        <x:v>1230300000</x:v>
      </x:c>
      <x:c r="G169" s="8"/>
      <x:c r="H169" s="4" t="str">
        <x:v>1,230,300,000.00</x:v>
      </x:c>
      <x:c r="I169" s="4" t="str">
        <x:v>原表未列比较列</x:v>
      </x:c>
      <x:c r="J169" s="4" t="str">
        <x:v>华夏华润商业REIT_2024年报_20250331.pdf，PDF第46页，现金流量表</x:v>
      </x:c>
    </x:row>
    <x:row r="170" ht="32" customHeight="1">
      <x:c r="A170" s="4" t="str">
        <x:v>华夏华润商业REIT</x:v>
      </x:c>
      <x:c r="B170" s="4" t="str">
        <x:v>2024年度</x:v>
      </x:c>
      <x:c r="C170" s="4" t="str">
        <x:v>合并</x:v>
      </x:c>
      <x:c r="D170" s="4" t="n">
        <x:v>29</x:v>
      </x:c>
      <x:c r="E170" s="4" t="str">
        <x:v>23.收到其他与筹资活动有关的现金</x:v>
      </x:c>
      <x:c r="F170" s="8" t="n">
        <x:v>0</x:v>
      </x:c>
      <x:c r="G170" s="8"/>
      <x:c r="H170" s="4" t="str">
        <x:v>-</x:v>
      </x:c>
      <x:c r="I170" s="4" t="str">
        <x:v>原表未列比较列</x:v>
      </x:c>
      <x:c r="J170" s="4" t="str">
        <x:v>华夏华润商业REIT_2024年报_20250331.pdf，PDF第46页，现金流量表</x:v>
      </x:c>
    </x:row>
    <x:row r="171" ht="42" customHeight="1">
      <x:c r="A171" s="4" t="str">
        <x:v>华夏华润商业REIT</x:v>
      </x:c>
      <x:c r="B171" s="4" t="str">
        <x:v>2024年度</x:v>
      </x:c>
      <x:c r="C171" s="4" t="str">
        <x:v>合并</x:v>
      </x:c>
      <x:c r="D171" s="4" t="n">
        <x:v>30</x:v>
      </x:c>
      <x:c r="E171" s="4" t="str">
        <x:v>筹资活动现金流入小计</x:v>
      </x:c>
      <x:c r="F171" s="8" t="n">
        <x:v>1230300000</x:v>
      </x:c>
      <x:c r="G171" s="8"/>
      <x:c r="H171" s="4" t="str">
        <x:v>1,230,300,000.00</x:v>
      </x:c>
      <x:c r="I171" s="4" t="str">
        <x:v>原表未列比较列</x:v>
      </x:c>
      <x:c r="J171" s="4" t="str">
        <x:v>华夏华润商业REIT_2024年报_20250331.pdf，PDF第46页，现金流量表</x:v>
      </x:c>
    </x:row>
    <x:row r="172" ht="32" customHeight="1">
      <x:c r="A172" s="4" t="str">
        <x:v>华夏华润商业REIT</x:v>
      </x:c>
      <x:c r="B172" s="4" t="str">
        <x:v>2024年度</x:v>
      </x:c>
      <x:c r="C172" s="4" t="str">
        <x:v>合并</x:v>
      </x:c>
      <x:c r="D172" s="4" t="n">
        <x:v>31</x:v>
      </x:c>
      <x:c r="E172" s="4" t="str">
        <x:v>24.赎回支付的现金</x:v>
      </x:c>
      <x:c r="F172" s="8" t="n">
        <x:v>0</x:v>
      </x:c>
      <x:c r="G172" s="8"/>
      <x:c r="H172" s="4" t="str">
        <x:v>-</x:v>
      </x:c>
      <x:c r="I172" s="4" t="str">
        <x:v>原表未列比较列</x:v>
      </x:c>
      <x:c r="J172" s="4" t="str">
        <x:v>华夏华润商业REIT_2024年报_20250331.pdf，PDF第46页，现金流量表</x:v>
      </x:c>
    </x:row>
    <x:row r="173" ht="42" customHeight="1">
      <x:c r="A173" s="4" t="str">
        <x:v>华夏华润商业REIT</x:v>
      </x:c>
      <x:c r="B173" s="4" t="str">
        <x:v>2024年度</x:v>
      </x:c>
      <x:c r="C173" s="4" t="str">
        <x:v>合并</x:v>
      </x:c>
      <x:c r="D173" s="4" t="n">
        <x:v>32</x:v>
      </x:c>
      <x:c r="E173" s="4" t="str">
        <x:v>25.偿还借款支付的现金</x:v>
      </x:c>
      <x:c r="F173" s="8" t="n">
        <x:v>1903823488.37</x:v>
      </x:c>
      <x:c r="G173" s="8"/>
      <x:c r="H173" s="4" t="str">
        <x:v>1,903,823,488.37</x:v>
      </x:c>
      <x:c r="I173" s="4" t="str">
        <x:v>原表未列比较列</x:v>
      </x:c>
      <x:c r="J173" s="4" t="str">
        <x:v>华夏华润商业REIT_2024年报_20250331.pdf，PDF第46页，现金流量表</x:v>
      </x:c>
    </x:row>
    <x:row r="174" ht="32" customHeight="1">
      <x:c r="A174" s="4" t="str">
        <x:v>华夏华润商业REIT</x:v>
      </x:c>
      <x:c r="B174" s="4" t="str">
        <x:v>2024年度</x:v>
      </x:c>
      <x:c r="C174" s="4" t="str">
        <x:v>合并</x:v>
      </x:c>
      <x:c r="D174" s="4" t="n">
        <x:v>33</x:v>
      </x:c>
      <x:c r="E174" s="4" t="str">
        <x:v>26.偿付利息支付的现金</x:v>
      </x:c>
      <x:c r="F174" s="8" t="n">
        <x:v>43032771.09</x:v>
      </x:c>
      <x:c r="G174" s="8"/>
      <x:c r="H174" s="4" t="str">
        <x:v>43,032,771.09</x:v>
      </x:c>
      <x:c r="I174" s="4" t="str">
        <x:v>原表未列比较列</x:v>
      </x:c>
      <x:c r="J174" s="4" t="str">
        <x:v>华夏华润商业REIT_2024年报_20250331.pdf，PDF第46页，现金流量表</x:v>
      </x:c>
    </x:row>
    <x:row r="175" ht="32" customHeight="1">
      <x:c r="A175" s="4" t="str">
        <x:v>华夏华润商业REIT</x:v>
      </x:c>
      <x:c r="B175" s="4" t="str">
        <x:v>2024年度</x:v>
      </x:c>
      <x:c r="C175" s="4" t="str">
        <x:v>合并</x:v>
      </x:c>
      <x:c r="D175" s="4" t="n">
        <x:v>34</x:v>
      </x:c>
      <x:c r="E175" s="4" t="str">
        <x:v>27.分配支付的现金</x:v>
      </x:c>
      <x:c r="F175" s="8" t="n">
        <x:v>226659992.42</x:v>
      </x:c>
      <x:c r="G175" s="8"/>
      <x:c r="H175" s="4" t="str">
        <x:v>226,659,992.42</x:v>
      </x:c>
      <x:c r="I175" s="4" t="str">
        <x:v>原表未列比较列</x:v>
      </x:c>
      <x:c r="J175" s="4" t="str">
        <x:v>华夏华润商业REIT_2024年报_20250331.pdf，PDF第46页，现金流量表</x:v>
      </x:c>
    </x:row>
    <x:row r="176" ht="32" customHeight="1">
      <x:c r="A176" s="4" t="str">
        <x:v>华夏华润商业REIT</x:v>
      </x:c>
      <x:c r="B176" s="4" t="str">
        <x:v>2024年度</x:v>
      </x:c>
      <x:c r="C176" s="4" t="str">
        <x:v>合并</x:v>
      </x:c>
      <x:c r="D176" s="4" t="n">
        <x:v>35</x:v>
      </x:c>
      <x:c r="E176" s="4" t="str">
        <x:v>28.支付其他与筹资活动有关的现金</x:v>
      </x:c>
      <x:c r="F176" s="8" t="n">
        <x:v>0</x:v>
      </x:c>
      <x:c r="G176" s="8"/>
      <x:c r="H176" s="4" t="str">
        <x:v>-</x:v>
      </x:c>
      <x:c r="I176" s="4" t="str">
        <x:v>原表未列比较列</x:v>
      </x:c>
      <x:c r="J176" s="4" t="str">
        <x:v>华夏华润商业REIT_2024年报_20250331.pdf，PDF第46页，现金流量表</x:v>
      </x:c>
    </x:row>
    <x:row r="177" ht="42" customHeight="1">
      <x:c r="A177" s="4" t="str">
        <x:v>华夏华润商业REIT</x:v>
      </x:c>
      <x:c r="B177" s="4" t="str">
        <x:v>2024年度</x:v>
      </x:c>
      <x:c r="C177" s="4" t="str">
        <x:v>合并</x:v>
      </x:c>
      <x:c r="D177" s="4" t="n">
        <x:v>36</x:v>
      </x:c>
      <x:c r="E177" s="4" t="str">
        <x:v>筹资活动现金流出小计</x:v>
      </x:c>
      <x:c r="F177" s="8" t="n">
        <x:v>2173516251.88</x:v>
      </x:c>
      <x:c r="G177" s="8"/>
      <x:c r="H177" s="4" t="str">
        <x:v>2,173,516,251.88</x:v>
      </x:c>
      <x:c r="I177" s="4" t="str">
        <x:v>原表未列比较列</x:v>
      </x:c>
      <x:c r="J177" s="4" t="str">
        <x:v>华夏华润商业REIT_2024年报_20250331.pdf，PDF第46页，现金流量表</x:v>
      </x:c>
    </x:row>
    <x:row r="178" ht="42" customHeight="1">
      <x:c r="A178" s="4" t="str">
        <x:v>华夏华润商业REIT</x:v>
      </x:c>
      <x:c r="B178" s="4" t="str">
        <x:v>2024年度</x:v>
      </x:c>
      <x:c r="C178" s="4" t="str">
        <x:v>合并</x:v>
      </x:c>
      <x:c r="D178" s="4" t="n">
        <x:v>37</x:v>
      </x:c>
      <x:c r="E178" s="4" t="str">
        <x:v>筹资活动产生的现金流量净额</x:v>
      </x:c>
      <x:c r="F178" s="8" t="n">
        <x:v>-943216251.88</x:v>
      </x:c>
      <x:c r="G178" s="8"/>
      <x:c r="H178" s="4" t="str">
        <x:v>-943,216,251.88</x:v>
      </x:c>
      <x:c r="I178" s="4" t="str">
        <x:v>原表未列比较列</x:v>
      </x:c>
      <x:c r="J178" s="4" t="str">
        <x:v>华夏华润商业REIT_2024年报_20250331.pdf，PDF第46页，现金流量表</x:v>
      </x:c>
    </x:row>
    <x:row r="179" ht="32" customHeight="1">
      <x:c r="A179" s="4" t="str">
        <x:v>华夏华润商业REIT</x:v>
      </x:c>
      <x:c r="B179" s="4" t="str">
        <x:v>2024年度</x:v>
      </x:c>
      <x:c r="C179" s="4" t="str">
        <x:v>合并</x:v>
      </x:c>
      <x:c r="D179" s="4" t="n">
        <x:v>38</x:v>
      </x:c>
      <x:c r="E179" s="4" t="str">
        <x:v>四、汇率变动对现金及现金等价物的影响</x:v>
      </x:c>
      <x:c r="F179" s="8" t="n">
        <x:v>0</x:v>
      </x:c>
      <x:c r="G179" s="8"/>
      <x:c r="H179" s="4" t="str">
        <x:v>-</x:v>
      </x:c>
      <x:c r="I179" s="4" t="str">
        <x:v>原表未列比较列</x:v>
      </x:c>
      <x:c r="J179" s="4" t="str">
        <x:v>华夏华润商业REIT_2024年报_20250331.pdf，PDF第46页，现金流量表</x:v>
      </x:c>
    </x:row>
    <x:row r="180" ht="42" customHeight="1">
      <x:c r="A180" s="4" t="str">
        <x:v>华夏华润商业REIT</x:v>
      </x:c>
      <x:c r="B180" s="4" t="str">
        <x:v>2024年度</x:v>
      </x:c>
      <x:c r="C180" s="4" t="str">
        <x:v>合并</x:v>
      </x:c>
      <x:c r="D180" s="4" t="n">
        <x:v>39</x:v>
      </x:c>
      <x:c r="E180" s="4" t="str">
        <x:v>五、现金及现金等价物净增加额</x:v>
      </x:c>
      <x:c r="F180" s="8" t="n">
        <x:v>-6462658514.78</x:v>
      </x:c>
      <x:c r="G180" s="8"/>
      <x:c r="H180" s="4" t="str">
        <x:v>-6,462,658,514.78</x:v>
      </x:c>
      <x:c r="I180" s="4" t="str">
        <x:v>原表未列比较列</x:v>
      </x:c>
      <x:c r="J180" s="4" t="str">
        <x:v>华夏华润商业REIT_2024年报_20250331.pdf，PDF第46页，现金流量表</x:v>
      </x:c>
    </x:row>
    <x:row r="181" ht="42" customHeight="1">
      <x:c r="A181" s="4" t="str">
        <x:v>华夏华润商业REIT</x:v>
      </x:c>
      <x:c r="B181" s="4" t="str">
        <x:v>2024年度</x:v>
      </x:c>
      <x:c r="C181" s="4" t="str">
        <x:v>合并</x:v>
      </x:c>
      <x:c r="D181" s="4" t="n">
        <x:v>40</x:v>
      </x:c>
      <x:c r="E181" s="4" t="str">
        <x:v>加：期初现金及现金等价物余额</x:v>
      </x:c>
      <x:c r="F181" s="8" t="n">
        <x:v>6902000000.35</x:v>
      </x:c>
      <x:c r="G181" s="8"/>
      <x:c r="H181" s="4" t="str">
        <x:v>6,902,000,000.35</x:v>
      </x:c>
      <x:c r="I181" s="4" t="str">
        <x:v>原表未列比较列</x:v>
      </x:c>
      <x:c r="J181" s="4" t="str">
        <x:v>华夏华润商业REIT_2024年报_20250331.pdf，PDF第46页，现金流量表</x:v>
      </x:c>
    </x:row>
    <x:row r="182" ht="32" customHeight="1">
      <x:c r="A182" s="4" t="str">
        <x:v>华夏华润商业REIT</x:v>
      </x:c>
      <x:c r="B182" s="4" t="str">
        <x:v>2024年度</x:v>
      </x:c>
      <x:c r="C182" s="4" t="str">
        <x:v>合并</x:v>
      </x:c>
      <x:c r="D182" s="4" t="n">
        <x:v>41</x:v>
      </x:c>
      <x:c r="E182" s="4" t="str">
        <x:v>六、期末现金及现金等价物余额</x:v>
      </x:c>
      <x:c r="F182" s="8" t="n">
        <x:v>439341485.57</x:v>
      </x:c>
      <x:c r="G182" s="8"/>
      <x:c r="H182" s="4" t="str">
        <x:v>439,341,485.57</x:v>
      </x:c>
      <x:c r="I182" s="4" t="str">
        <x:v>原表未列比较列</x:v>
      </x:c>
      <x:c r="J182" s="4" t="str">
        <x:v>华夏华润商业REIT_2024年报_20250331.pdf，PDF第46页，现金流量表</x:v>
      </x:c>
    </x:row>
    <x:row r="183" ht="32" customHeight="1">
      <x:c r="A183" s="4" t="str">
        <x:v>华夏华润商业REIT</x:v>
      </x:c>
      <x:c r="B183" s="4" t="str">
        <x:v>2024年度</x:v>
      </x:c>
      <x:c r="C183" s="4" t="str">
        <x:v>基金个别</x:v>
      </x:c>
      <x:c r="D183" s="4" t="n">
        <x:v>1</x:v>
      </x:c>
      <x:c r="E183" s="4" t="str">
        <x:v>1.收回基础设施投资收到的现金</x:v>
      </x:c>
      <x:c r="F183" s="8" t="n">
        <x:v>0</x:v>
      </x:c>
      <x:c r="G183" s="8"/>
      <x:c r="H183" s="4" t="str">
        <x:v>-</x:v>
      </x:c>
      <x:c r="I183" s="4" t="str">
        <x:v>原表未列比较列</x:v>
      </x:c>
      <x:c r="J183" s="4" t="str">
        <x:v>华夏华润商业REIT_2024年报_20250331.pdf，PDF第47页，现金流量表</x:v>
      </x:c>
    </x:row>
    <x:row r="184" ht="32" customHeight="1">
      <x:c r="A184" s="4" t="str">
        <x:v>华夏华润商业REIT</x:v>
      </x:c>
      <x:c r="B184" s="4" t="str">
        <x:v>2024年度</x:v>
      </x:c>
      <x:c r="C184" s="4" t="str">
        <x:v>基金个别</x:v>
      </x:c>
      <x:c r="D184" s="4" t="n">
        <x:v>2</x:v>
      </x:c>
      <x:c r="E184" s="4" t="str">
        <x:v>2.取得基础设施投资收益收到的现金</x:v>
      </x:c>
      <x:c r="F184" s="8" t="n">
        <x:v>233414948.86</x:v>
      </x:c>
      <x:c r="G184" s="8"/>
      <x:c r="H184" s="4" t="str">
        <x:v>233,414,948.86</x:v>
      </x:c>
      <x:c r="I184" s="4" t="str">
        <x:v>原表未列比较列</x:v>
      </x:c>
      <x:c r="J184" s="4" t="str">
        <x:v>华夏华润商业REIT_2024年报_20250331.pdf，PDF第47页，现金流量表</x:v>
      </x:c>
    </x:row>
    <x:row r="185" ht="32" customHeight="1">
      <x:c r="A185" s="4" t="str">
        <x:v>华夏华润商业REIT</x:v>
      </x:c>
      <x:c r="B185" s="4" t="str">
        <x:v>2024年度</x:v>
      </x:c>
      <x:c r="C185" s="4" t="str">
        <x:v>基金个别</x:v>
      </x:c>
      <x:c r="D185" s="4" t="n">
        <x:v>3</x:v>
      </x:c>
      <x:c r="E185" s="4" t="str">
        <x:v>3.处置证券投资收到的现金净额</x:v>
      </x:c>
      <x:c r="F185" s="8" t="n">
        <x:v>0</x:v>
      </x:c>
      <x:c r="G185" s="8"/>
      <x:c r="H185" s="4" t="str">
        <x:v>-</x:v>
      </x:c>
      <x:c r="I185" s="4" t="str">
        <x:v>原表未列比较列</x:v>
      </x:c>
      <x:c r="J185" s="4" t="str">
        <x:v>华夏华润商业REIT_2024年报_20250331.pdf，PDF第47页，现金流量表</x:v>
      </x:c>
    </x:row>
    <x:row r="186" ht="32" customHeight="1">
      <x:c r="A186" s="4" t="str">
        <x:v>华夏华润商业REIT</x:v>
      </x:c>
      <x:c r="B186" s="4" t="str">
        <x:v>2024年度</x:v>
      </x:c>
      <x:c r="C186" s="4" t="str">
        <x:v>基金个别</x:v>
      </x:c>
      <x:c r="D186" s="4" t="n">
        <x:v>4</x:v>
      </x:c>
      <x:c r="E186" s="4" t="str">
        <x:v>4.买入返售金融资产净减少额</x:v>
      </x:c>
      <x:c r="F186" s="8" t="n">
        <x:v>0</x:v>
      </x:c>
      <x:c r="G186" s="8"/>
      <x:c r="H186" s="4" t="str">
        <x:v>-</x:v>
      </x:c>
      <x:c r="I186" s="4" t="str">
        <x:v>原表未列比较列</x:v>
      </x:c>
      <x:c r="J186" s="4" t="str">
        <x:v>华夏华润商业REIT_2024年报_20250331.pdf，PDF第47页，现金流量表</x:v>
      </x:c>
    </x:row>
    <x:row r="187" ht="32" customHeight="1">
      <x:c r="A187" s="4" t="str">
        <x:v>华夏华润商业REIT</x:v>
      </x:c>
      <x:c r="B187" s="4" t="str">
        <x:v>2024年度</x:v>
      </x:c>
      <x:c r="C187" s="4" t="str">
        <x:v>基金个别</x:v>
      </x:c>
      <x:c r="D187" s="4" t="n">
        <x:v>5</x:v>
      </x:c>
      <x:c r="E187" s="4" t="str">
        <x:v>5.卖出回购金融资产款净增加额</x:v>
      </x:c>
      <x:c r="F187" s="8" t="n">
        <x:v>0</x:v>
      </x:c>
      <x:c r="G187" s="8"/>
      <x:c r="H187" s="4" t="str">
        <x:v>-</x:v>
      </x:c>
      <x:c r="I187" s="4" t="str">
        <x:v>原表未列比较列</x:v>
      </x:c>
      <x:c r="J187" s="4" t="str">
        <x:v>华夏华润商业REIT_2024年报_20250331.pdf，PDF第47页，现金流量表</x:v>
      </x:c>
    </x:row>
    <x:row r="188" ht="32" customHeight="1">
      <x:c r="A188" s="4" t="str">
        <x:v>华夏华润商业REIT</x:v>
      </x:c>
      <x:c r="B188" s="4" t="str">
        <x:v>2024年度</x:v>
      </x:c>
      <x:c r="C188" s="4" t="str">
        <x:v>基金个别</x:v>
      </x:c>
      <x:c r="D188" s="4" t="n">
        <x:v>6</x:v>
      </x:c>
      <x:c r="E188" s="4" t="str">
        <x:v>6.取得利息收入收到的现金</x:v>
      </x:c>
      <x:c r="F188" s="8" t="n">
        <x:v>1614153.62</x:v>
      </x:c>
      <x:c r="G188" s="8"/>
      <x:c r="H188" s="4" t="str">
        <x:v>1,614,153.62</x:v>
      </x:c>
      <x:c r="I188" s="4" t="str">
        <x:v>原表未列比较列</x:v>
      </x:c>
      <x:c r="J188" s="4" t="str">
        <x:v>华夏华润商业REIT_2024年报_20250331.pdf，PDF第47页，现金流量表</x:v>
      </x:c>
    </x:row>
    <x:row r="189" ht="32" customHeight="1">
      <x:c r="A189" s="4" t="str">
        <x:v>华夏华润商业REIT</x:v>
      </x:c>
      <x:c r="B189" s="4" t="str">
        <x:v>2024年度</x:v>
      </x:c>
      <x:c r="C189" s="4" t="str">
        <x:v>基金个别</x:v>
      </x:c>
      <x:c r="D189" s="4" t="n">
        <x:v>7</x:v>
      </x:c>
      <x:c r="E189" s="4" t="str">
        <x:v>7.收到其他与经营活动有关的现金</x:v>
      </x:c>
      <x:c r="F189" s="8" t="n">
        <x:v>0</x:v>
      </x:c>
      <x:c r="G189" s="8"/>
      <x:c r="H189" s="4" t="str">
        <x:v>-</x:v>
      </x:c>
      <x:c r="I189" s="4" t="str">
        <x:v>原表未列比较列</x:v>
      </x:c>
      <x:c r="J189" s="4" t="str">
        <x:v>华夏华润商业REIT_2024年报_20250331.pdf，PDF第47页，现金流量表</x:v>
      </x:c>
    </x:row>
    <x:row r="190" ht="32" customHeight="1">
      <x:c r="A190" s="4" t="str">
        <x:v>华夏华润商业REIT</x:v>
      </x:c>
      <x:c r="B190" s="4" t="str">
        <x:v>2024年度</x:v>
      </x:c>
      <x:c r="C190" s="4" t="str">
        <x:v>基金个别</x:v>
      </x:c>
      <x:c r="D190" s="4" t="n">
        <x:v>8</x:v>
      </x:c>
      <x:c r="E190" s="4" t="str">
        <x:v>经营活动现金流入小计</x:v>
      </x:c>
      <x:c r="F190" s="8" t="n">
        <x:v>235029102.48</x:v>
      </x:c>
      <x:c r="G190" s="8"/>
      <x:c r="H190" s="4" t="str">
        <x:v>235,029,102.48</x:v>
      </x:c>
      <x:c r="I190" s="4" t="str">
        <x:v>原表未列比较列</x:v>
      </x:c>
      <x:c r="J190" s="4" t="str">
        <x:v>华夏华润商业REIT_2024年报_20250331.pdf，PDF第47页，现金流量表</x:v>
      </x:c>
    </x:row>
    <x:row r="191" ht="42" customHeight="1">
      <x:c r="A191" s="4" t="str">
        <x:v>华夏华润商业REIT</x:v>
      </x:c>
      <x:c r="B191" s="4" t="str">
        <x:v>2024年度</x:v>
      </x:c>
      <x:c r="C191" s="4" t="str">
        <x:v>基金个别</x:v>
      </x:c>
      <x:c r="D191" s="4" t="n">
        <x:v>9</x:v>
      </x:c>
      <x:c r="E191" s="4" t="str">
        <x:v>8.取得基础设施投资支付的现金</x:v>
      </x:c>
      <x:c r="F191" s="8" t="n">
        <x:v>6901800000</x:v>
      </x:c>
      <x:c r="G191" s="8"/>
      <x:c r="H191" s="4" t="str">
        <x:v>6,901,800,000.00</x:v>
      </x:c>
      <x:c r="I191" s="4" t="str">
        <x:v>原表未列比较列</x:v>
      </x:c>
      <x:c r="J191" s="4" t="str">
        <x:v>华夏华润商业REIT_2024年报_20250331.pdf，PDF第47页，现金流量表</x:v>
      </x:c>
    </x:row>
    <x:row r="192" ht="32" customHeight="1">
      <x:c r="A192" s="4" t="str">
        <x:v>华夏华润商业REIT</x:v>
      </x:c>
      <x:c r="B192" s="4" t="str">
        <x:v>2024年度</x:v>
      </x:c>
      <x:c r="C192" s="4" t="str">
        <x:v>基金个别</x:v>
      </x:c>
      <x:c r="D192" s="4" t="n">
        <x:v>10</x:v>
      </x:c>
      <x:c r="E192" s="4" t="str">
        <x:v>9.取得证券投资支付的现金净额</x:v>
      </x:c>
      <x:c r="F192" s="8" t="n">
        <x:v>0</x:v>
      </x:c>
      <x:c r="G192" s="8"/>
      <x:c r="H192" s="4" t="str">
        <x:v>-</x:v>
      </x:c>
      <x:c r="I192" s="4" t="str">
        <x:v>原表未列比较列</x:v>
      </x:c>
      <x:c r="J192" s="4" t="str">
        <x:v>华夏华润商业REIT_2024年报_20250331.pdf，PDF第47页，现金流量表</x:v>
      </x:c>
    </x:row>
    <x:row r="193" ht="32" customHeight="1">
      <x:c r="A193" s="4" t="str">
        <x:v>华夏华润商业REIT</x:v>
      </x:c>
      <x:c r="B193" s="4" t="str">
        <x:v>2024年度</x:v>
      </x:c>
      <x:c r="C193" s="4" t="str">
        <x:v>基金个别</x:v>
      </x:c>
      <x:c r="D193" s="4" t="n">
        <x:v>11</x:v>
      </x:c>
      <x:c r="E193" s="4" t="str">
        <x:v>10.买入返售金融资产净增加额</x:v>
      </x:c>
      <x:c r="F193" s="8" t="n">
        <x:v>0</x:v>
      </x:c>
      <x:c r="G193" s="8"/>
      <x:c r="H193" s="4" t="str">
        <x:v>-</x:v>
      </x:c>
      <x:c r="I193" s="4" t="str">
        <x:v>原表未列比较列</x:v>
      </x:c>
      <x:c r="J193" s="4" t="str">
        <x:v>华夏华润商业REIT_2024年报_20250331.pdf，PDF第47页，现金流量表</x:v>
      </x:c>
    </x:row>
    <x:row r="194" ht="32" customHeight="1">
      <x:c r="A194" s="4" t="str">
        <x:v>华夏华润商业REIT</x:v>
      </x:c>
      <x:c r="B194" s="4" t="str">
        <x:v>2024年度</x:v>
      </x:c>
      <x:c r="C194" s="4" t="str">
        <x:v>基金个别</x:v>
      </x:c>
      <x:c r="D194" s="4" t="n">
        <x:v>12</x:v>
      </x:c>
      <x:c r="E194" s="4" t="str">
        <x:v>11.卖出回购金融资产款净减少额</x:v>
      </x:c>
      <x:c r="F194" s="8" t="n">
        <x:v>0</x:v>
      </x:c>
      <x:c r="G194" s="8"/>
      <x:c r="H194" s="4" t="str">
        <x:v>-</x:v>
      </x:c>
      <x:c r="I194" s="4" t="str">
        <x:v>原表未列比较列</x:v>
      </x:c>
      <x:c r="J194" s="4" t="str">
        <x:v>华夏华润商业REIT_2024年报_20250331.pdf，PDF第47页，现金流量表</x:v>
      </x:c>
    </x:row>
    <x:row r="195" ht="32" customHeight="1">
      <x:c r="A195" s="4" t="str">
        <x:v>华夏华润商业REIT</x:v>
      </x:c>
      <x:c r="B195" s="4" t="str">
        <x:v>2024年度</x:v>
      </x:c>
      <x:c r="C195" s="4" t="str">
        <x:v>基金个别</x:v>
      </x:c>
      <x:c r="D195" s="4" t="n">
        <x:v>13</x:v>
      </x:c>
      <x:c r="E195" s="4" t="str">
        <x:v>12.支付的各项税费</x:v>
      </x:c>
      <x:c r="F195" s="8" t="n">
        <x:v>0</x:v>
      </x:c>
      <x:c r="G195" s="8"/>
      <x:c r="H195" s="4" t="str">
        <x:v>-</x:v>
      </x:c>
      <x:c r="I195" s="4" t="str">
        <x:v>原表未列比较列</x:v>
      </x:c>
      <x:c r="J195" s="4" t="str">
        <x:v>华夏华润商业REIT_2024年报_20250331.pdf，PDF第47页，现金流量表</x:v>
      </x:c>
    </x:row>
    <x:row r="196" ht="32" customHeight="1">
      <x:c r="A196" s="4" t="str">
        <x:v>华夏华润商业REIT</x:v>
      </x:c>
      <x:c r="B196" s="4" t="str">
        <x:v>2024年度</x:v>
      </x:c>
      <x:c r="C196" s="4" t="str">
        <x:v>基金个别</x:v>
      </x:c>
      <x:c r="D196" s="4" t="n">
        <x:v>14</x:v>
      </x:c>
      <x:c r="E196" s="4" t="str">
        <x:v>13.支付其他与经营活动有关的现金</x:v>
      </x:c>
      <x:c r="F196" s="8" t="n">
        <x:v>400</x:v>
      </x:c>
      <x:c r="G196" s="8"/>
      <x:c r="H196" s="4" t="str">
        <x:v>400.00</x:v>
      </x:c>
      <x:c r="I196" s="4" t="str">
        <x:v>原表未列比较列</x:v>
      </x:c>
      <x:c r="J196" s="4" t="str">
        <x:v>华夏华润商业REIT_2024年报_20250331.pdf，PDF第47页，现金流量表</x:v>
      </x:c>
    </x:row>
    <x:row r="197" ht="42" customHeight="1">
      <x:c r="A197" s="4" t="str">
        <x:v>华夏华润商业REIT</x:v>
      </x:c>
      <x:c r="B197" s="4" t="str">
        <x:v>2024年度</x:v>
      </x:c>
      <x:c r="C197" s="4" t="str">
        <x:v>基金个别</x:v>
      </x:c>
      <x:c r="D197" s="4" t="n">
        <x:v>15</x:v>
      </x:c>
      <x:c r="E197" s="4" t="str">
        <x:v>经营活动现金流出小计</x:v>
      </x:c>
      <x:c r="F197" s="8" t="n">
        <x:v>6901800400</x:v>
      </x:c>
      <x:c r="G197" s="8"/>
      <x:c r="H197" s="4" t="str">
        <x:v>6,901,800,400.00</x:v>
      </x:c>
      <x:c r="I197" s="4" t="str">
        <x:v>原表未列比较列</x:v>
      </x:c>
      <x:c r="J197" s="4" t="str">
        <x:v>华夏华润商业REIT_2024年报_20250331.pdf，PDF第47页，现金流量表</x:v>
      </x:c>
    </x:row>
    <x:row r="198" ht="42" customHeight="1">
      <x:c r="A198" s="4" t="str">
        <x:v>华夏华润商业REIT</x:v>
      </x:c>
      <x:c r="B198" s="4" t="str">
        <x:v>2024年度</x:v>
      </x:c>
      <x:c r="C198" s="4" t="str">
        <x:v>基金个别</x:v>
      </x:c>
      <x:c r="D198" s="4" t="n">
        <x:v>16</x:v>
      </x:c>
      <x:c r="E198" s="4" t="str">
        <x:v>经营活动产生的现金流量净额</x:v>
      </x:c>
      <x:c r="F198" s="8" t="n">
        <x:v>-6666771297.52</x:v>
      </x:c>
      <x:c r="G198" s="8"/>
      <x:c r="H198" s="4" t="str">
        <x:v>-6,666,771,297.52</x:v>
      </x:c>
      <x:c r="I198" s="4" t="str">
        <x:v>原表未列比较列</x:v>
      </x:c>
      <x:c r="J198" s="4" t="str">
        <x:v>华夏华润商业REIT_2024年报_20250331.pdf，PDF第47页，现金流量表</x:v>
      </x:c>
    </x:row>
    <x:row r="199" ht="32" customHeight="1">
      <x:c r="A199" s="4" t="str">
        <x:v>华夏华润商业REIT</x:v>
      </x:c>
      <x:c r="B199" s="4" t="str">
        <x:v>2024年度</x:v>
      </x:c>
      <x:c r="C199" s="4" t="str">
        <x:v>基金个别</x:v>
      </x:c>
      <x:c r="D199" s="4" t="n">
        <x:v>17</x:v>
      </x:c>
      <x:c r="E199" s="4" t="str">
        <x:v>14.认购/申购收到的现金</x:v>
      </x:c>
      <x:c r="F199" s="8" t="n">
        <x:v>0</x:v>
      </x:c>
      <x:c r="G199" s="8"/>
      <x:c r="H199" s="4" t="str">
        <x:v>-</x:v>
      </x:c>
      <x:c r="I199" s="4" t="str">
        <x:v>原表未列比较列</x:v>
      </x:c>
      <x:c r="J199" s="4" t="str">
        <x:v>华夏华润商业REIT_2024年报_20250331.pdf，PDF第47页，现金流量表</x:v>
      </x:c>
    </x:row>
    <x:row r="200" ht="32" customHeight="1">
      <x:c r="A200" s="4" t="str">
        <x:v>华夏华润商业REIT</x:v>
      </x:c>
      <x:c r="B200" s="4" t="str">
        <x:v>2024年度</x:v>
      </x:c>
      <x:c r="C200" s="4" t="str">
        <x:v>基金个别</x:v>
      </x:c>
      <x:c r="D200" s="4" t="n">
        <x:v>18</x:v>
      </x:c>
      <x:c r="E200" s="4" t="str">
        <x:v>15.收到其他与筹资活动有关的现金</x:v>
      </x:c>
      <x:c r="F200" s="8" t="n">
        <x:v>0</x:v>
      </x:c>
      <x:c r="G200" s="8"/>
      <x:c r="H200" s="4" t="str">
        <x:v>-</x:v>
      </x:c>
      <x:c r="I200" s="4" t="str">
        <x:v>原表未列比较列</x:v>
      </x:c>
      <x:c r="J200" s="4" t="str">
        <x:v>华夏华润商业REIT_2024年报_20250331.pdf，PDF第47页，现金流量表</x:v>
      </x:c>
    </x:row>
    <x:row r="201" ht="32" customHeight="1">
      <x:c r="A201" s="4" t="str">
        <x:v>华夏华润商业REIT</x:v>
      </x:c>
      <x:c r="B201" s="4" t="str">
        <x:v>2024年度</x:v>
      </x:c>
      <x:c r="C201" s="4" t="str">
        <x:v>基金个别</x:v>
      </x:c>
      <x:c r="D201" s="4" t="n">
        <x:v>19</x:v>
      </x:c>
      <x:c r="E201" s="4" t="str">
        <x:v>筹资活动现金流入小计</x:v>
      </x:c>
      <x:c r="F201" s="8" t="n">
        <x:v>0</x:v>
      </x:c>
      <x:c r="G201" s="8"/>
      <x:c r="H201" s="4" t="str">
        <x:v>-</x:v>
      </x:c>
      <x:c r="I201" s="4" t="str">
        <x:v>原表未列比较列</x:v>
      </x:c>
      <x:c r="J201" s="4" t="str">
        <x:v>华夏华润商业REIT_2024年报_20250331.pdf，PDF第47页，现金流量表</x:v>
      </x:c>
    </x:row>
    <x:row r="202" ht="32" customHeight="1">
      <x:c r="A202" s="4" t="str">
        <x:v>华夏华润商业REIT</x:v>
      </x:c>
      <x:c r="B202" s="4" t="str">
        <x:v>2024年度</x:v>
      </x:c>
      <x:c r="C202" s="4" t="str">
        <x:v>基金个别</x:v>
      </x:c>
      <x:c r="D202" s="4" t="n">
        <x:v>20</x:v>
      </x:c>
      <x:c r="E202" s="4" t="str">
        <x:v>16.赎回支付的现金</x:v>
      </x:c>
      <x:c r="F202" s="8" t="n">
        <x:v>0</x:v>
      </x:c>
      <x:c r="G202" s="8"/>
      <x:c r="H202" s="4" t="str">
        <x:v>-</x:v>
      </x:c>
      <x:c r="I202" s="4" t="str">
        <x:v>原表未列比较列</x:v>
      </x:c>
      <x:c r="J202" s="4" t="str">
        <x:v>华夏华润商业REIT_2024年报_20250331.pdf，PDF第47页，现金流量表</x:v>
      </x:c>
    </x:row>
    <x:row r="203" ht="32" customHeight="1">
      <x:c r="A203" s="4" t="str">
        <x:v>华夏华润商业REIT</x:v>
      </x:c>
      <x:c r="B203" s="4" t="str">
        <x:v>2024年度</x:v>
      </x:c>
      <x:c r="C203" s="4" t="str">
        <x:v>基金个别</x:v>
      </x:c>
      <x:c r="D203" s="4" t="n">
        <x:v>21</x:v>
      </x:c>
      <x:c r="E203" s="4" t="str">
        <x:v>17.偿付利息支付的现金</x:v>
      </x:c>
      <x:c r="F203" s="8" t="n">
        <x:v>0</x:v>
      </x:c>
      <x:c r="G203" s="8"/>
      <x:c r="H203" s="4" t="str">
        <x:v>-</x:v>
      </x:c>
      <x:c r="I203" s="4" t="str">
        <x:v>原表未列比较列</x:v>
      </x:c>
      <x:c r="J203" s="4" t="str">
        <x:v>华夏华润商业REIT_2024年报_20250331.pdf，PDF第47页，现金流量表</x:v>
      </x:c>
    </x:row>
    <x:row r="204" ht="32" customHeight="1">
      <x:c r="A204" s="4" t="str">
        <x:v>华夏华润商业REIT</x:v>
      </x:c>
      <x:c r="B204" s="4" t="str">
        <x:v>2024年度</x:v>
      </x:c>
      <x:c r="C204" s="4" t="str">
        <x:v>基金个别</x:v>
      </x:c>
      <x:c r="D204" s="4" t="n">
        <x:v>22</x:v>
      </x:c>
      <x:c r="E204" s="4" t="str">
        <x:v>18.分配支付的现金</x:v>
      </x:c>
      <x:c r="F204" s="8" t="n">
        <x:v>226659992.42</x:v>
      </x:c>
      <x:c r="G204" s="8"/>
      <x:c r="H204" s="4" t="str">
        <x:v>226,659,992.42</x:v>
      </x:c>
      <x:c r="I204" s="4" t="str">
        <x:v>原表未列比较列</x:v>
      </x:c>
      <x:c r="J204" s="4" t="str">
        <x:v>华夏华润商业REIT_2024年报_20250331.pdf，PDF第47页，现金流量表</x:v>
      </x:c>
    </x:row>
    <x:row r="205" ht="32" customHeight="1">
      <x:c r="A205" s="4" t="str">
        <x:v>华夏华润商业REIT</x:v>
      </x:c>
      <x:c r="B205" s="4" t="str">
        <x:v>2024年度</x:v>
      </x:c>
      <x:c r="C205" s="4" t="str">
        <x:v>基金个别</x:v>
      </x:c>
      <x:c r="D205" s="4" t="n">
        <x:v>23</x:v>
      </x:c>
      <x:c r="E205" s="4" t="str">
        <x:v>19.支付其他与筹资活动有关的现金</x:v>
      </x:c>
      <x:c r="F205" s="8" t="n">
        <x:v>0</x:v>
      </x:c>
      <x:c r="G205" s="8"/>
      <x:c r="H205" s="4" t="str">
        <x:v>-</x:v>
      </x:c>
      <x:c r="I205" s="4" t="str">
        <x:v>原表未列比较列</x:v>
      </x:c>
      <x:c r="J205" s="4" t="str">
        <x:v>华夏华润商业REIT_2024年报_20250331.pdf，PDF第47页，现金流量表</x:v>
      </x:c>
    </x:row>
    <x:row r="206" ht="32" customHeight="1">
      <x:c r="A206" s="4" t="str">
        <x:v>华夏华润商业REIT</x:v>
      </x:c>
      <x:c r="B206" s="4" t="str">
        <x:v>2024年度</x:v>
      </x:c>
      <x:c r="C206" s="4" t="str">
        <x:v>基金个别</x:v>
      </x:c>
      <x:c r="D206" s="4" t="n">
        <x:v>24</x:v>
      </x:c>
      <x:c r="E206" s="4" t="str">
        <x:v>筹资活动现金流出小计</x:v>
      </x:c>
      <x:c r="F206" s="8" t="n">
        <x:v>226659992.42</x:v>
      </x:c>
      <x:c r="G206" s="8"/>
      <x:c r="H206" s="4" t="str">
        <x:v>226,659,992.42</x:v>
      </x:c>
      <x:c r="I206" s="4" t="str">
        <x:v>原表未列比较列</x:v>
      </x:c>
      <x:c r="J206" s="4" t="str">
        <x:v>华夏华润商业REIT_2024年报_20250331.pdf，PDF第47页，现金流量表</x:v>
      </x:c>
    </x:row>
    <x:row r="207" ht="42" customHeight="1">
      <x:c r="A207" s="4" t="str">
        <x:v>华夏华润商业REIT</x:v>
      </x:c>
      <x:c r="B207" s="4" t="str">
        <x:v>2024年度</x:v>
      </x:c>
      <x:c r="C207" s="4" t="str">
        <x:v>基金个别</x:v>
      </x:c>
      <x:c r="D207" s="4" t="n">
        <x:v>25</x:v>
      </x:c>
      <x:c r="E207" s="4" t="str">
        <x:v>筹资活动产生的现金流量净额</x:v>
      </x:c>
      <x:c r="F207" s="8" t="n">
        <x:v>-226659992.42</x:v>
      </x:c>
      <x:c r="G207" s="8"/>
      <x:c r="H207" s="4" t="str">
        <x:v>-226,659,992.42</x:v>
      </x:c>
      <x:c r="I207" s="4" t="str">
        <x:v>原表未列比较列</x:v>
      </x:c>
      <x:c r="J207" s="4" t="str">
        <x:v>华夏华润商业REIT_2024年报_20250331.pdf，PDF第47页，现金流量表</x:v>
      </x:c>
    </x:row>
    <x:row r="208" ht="32" customHeight="1">
      <x:c r="A208" s="4" t="str">
        <x:v>华夏华润商业REIT</x:v>
      </x:c>
      <x:c r="B208" s="4" t="str">
        <x:v>2024年度</x:v>
      </x:c>
      <x:c r="C208" s="4" t="str">
        <x:v>基金个别</x:v>
      </x:c>
      <x:c r="D208" s="4" t="n">
        <x:v>26</x:v>
      </x:c>
      <x:c r="E208" s="4" t="str">
        <x:v>三、汇率变动对现金及现金等价物的影响</x:v>
      </x:c>
      <x:c r="F208" s="8" t="n">
        <x:v>0</x:v>
      </x:c>
      <x:c r="G208" s="8"/>
      <x:c r="H208" s="4" t="str">
        <x:v>-</x:v>
      </x:c>
      <x:c r="I208" s="4" t="str">
        <x:v>原表未列比较列</x:v>
      </x:c>
      <x:c r="J208" s="4" t="str">
        <x:v>华夏华润商业REIT_2024年报_20250331.pdf，PDF第47页，现金流量表</x:v>
      </x:c>
    </x:row>
    <x:row r="209" ht="42" customHeight="1">
      <x:c r="A209" s="4" t="str">
        <x:v>华夏华润商业REIT</x:v>
      </x:c>
      <x:c r="B209" s="4" t="str">
        <x:v>2024年度</x:v>
      </x:c>
      <x:c r="C209" s="4" t="str">
        <x:v>基金个别</x:v>
      </x:c>
      <x:c r="D209" s="4" t="n">
        <x:v>27</x:v>
      </x:c>
      <x:c r="E209" s="4" t="str">
        <x:v>四、现金及现金等价物净增加额</x:v>
      </x:c>
      <x:c r="F209" s="8" t="n">
        <x:v>-6893431289.94</x:v>
      </x:c>
      <x:c r="G209" s="8"/>
      <x:c r="H209" s="4" t="str">
        <x:v>-6,893,431,289.94</x:v>
      </x:c>
      <x:c r="I209" s="4" t="str">
        <x:v>原表未列比较列</x:v>
      </x:c>
      <x:c r="J209" s="4" t="str">
        <x:v>华夏华润商业REIT_2024年报_20250331.pdf，PDF第47页，现金流量表</x:v>
      </x:c>
    </x:row>
    <x:row r="210" ht="42" customHeight="1">
      <x:c r="A210" s="4" t="str">
        <x:v>华夏华润商业REIT</x:v>
      </x:c>
      <x:c r="B210" s="4" t="str">
        <x:v>2024年度</x:v>
      </x:c>
      <x:c r="C210" s="4" t="str">
        <x:v>基金个别</x:v>
      </x:c>
      <x:c r="D210" s="4" t="n">
        <x:v>28</x:v>
      </x:c>
      <x:c r="E210" s="4" t="str">
        <x:v>加：期初现金及现金等价物余额</x:v>
      </x:c>
      <x:c r="F210" s="8" t="n">
        <x:v>6902000000.35</x:v>
      </x:c>
      <x:c r="G210" s="8"/>
      <x:c r="H210" s="4" t="str">
        <x:v>6,902,000,000.35</x:v>
      </x:c>
      <x:c r="I210" s="4" t="str">
        <x:v>原表未列比较列</x:v>
      </x:c>
      <x:c r="J210" s="4" t="str">
        <x:v>华夏华润商业REIT_2024年报_20250331.pdf，PDF第47页，现金流量表</x:v>
      </x:c>
    </x:row>
    <x:row r="211" ht="32" customHeight="1">
      <x:c r="A211" s="4" t="str">
        <x:v>华夏华润商业REIT</x:v>
      </x:c>
      <x:c r="B211" s="4" t="str">
        <x:v>2024年度</x:v>
      </x:c>
      <x:c r="C211" s="4" t="str">
        <x:v>基金个别</x:v>
      </x:c>
      <x:c r="D211" s="4" t="n">
        <x:v>29</x:v>
      </x:c>
      <x:c r="E211" s="4" t="str">
        <x:v>五、期末现金及现金等价物余额</x:v>
      </x:c>
      <x:c r="F211" s="8" t="n">
        <x:v>8568710.41</x:v>
      </x:c>
      <x:c r="G211" s="8"/>
      <x:c r="H211" s="4" t="str">
        <x:v>8,568,710.41</x:v>
      </x:c>
      <x:c r="I211" s="4" t="str">
        <x:v>原表未列比较列</x:v>
      </x:c>
      <x:c r="J211" s="4" t="str">
        <x:v>华夏华润商业REIT_2024年报_20250331.pdf，PDF第47页，现金流量表</x:v>
      </x:c>
    </x:row>
    <x:row r="212" ht="32" customHeight="1">
      <x:c r="A212" s="4" t="str">
        <x:v>华夏华润商业REIT</x:v>
      </x:c>
      <x:c r="B212" s="4" t="str">
        <x:v>2025上半年</x:v>
      </x:c>
      <x:c r="C212" s="4" t="str">
        <x:v>合并</x:v>
      </x:c>
      <x:c r="D212" s="4" t="n">
        <x:v>1</x:v>
      </x:c>
      <x:c r="E212" s="4" t="str">
        <x:v>1.销售商品、提供劳务收到的现金</x:v>
      </x:c>
      <x:c r="F212" s="8" t="n">
        <x:v>372357457.36</x:v>
      </x:c>
      <x:c r="G212" s="8" t="n">
        <x:v>325646831.15</x:v>
      </x:c>
      <x:c r="H212" s="4" t="str">
        <x:v>372,357,457.36</x:v>
      </x:c>
      <x:c r="I212" s="4" t="str">
        <x:v>325,646,831.15</x:v>
      </x:c>
      <x:c r="J212" s="4" t="str">
        <x:v>华夏华润商业REIT_2025中报_20250830.pdf，PDF第39页，现金流量表</x:v>
      </x:c>
    </x:row>
    <x:row r="213" ht="32" customHeight="1">
      <x:c r="A213" s="4" t="str">
        <x:v>华夏华润商业REIT</x:v>
      </x:c>
      <x:c r="B213" s="4" t="str">
        <x:v>2025上半年</x:v>
      </x:c>
      <x:c r="C213" s="4" t="str">
        <x:v>合并</x:v>
      </x:c>
      <x:c r="D213" s="4" t="n">
        <x:v>2</x:v>
      </x:c>
      <x:c r="E213" s="4" t="str">
        <x:v>2.处置证券投资收到的现金净额</x:v>
      </x:c>
      <x:c r="F213" s="8" t="n">
        <x:v>0</x:v>
      </x:c>
      <x:c r="G213" s="8" t="n">
        <x:v>0</x:v>
      </x:c>
      <x:c r="H213" s="4" t="str">
        <x:v>-</x:v>
      </x:c>
      <x:c r="I213" s="4" t="str">
        <x:v>-</x:v>
      </x:c>
      <x:c r="J213" s="4" t="str">
        <x:v>华夏华润商业REIT_2025中报_20250830.pdf，PDF第39页，现金流量表</x:v>
      </x:c>
    </x:row>
    <x:row r="214" ht="32" customHeight="1">
      <x:c r="A214" s="4" t="str">
        <x:v>华夏华润商业REIT</x:v>
      </x:c>
      <x:c r="B214" s="4" t="str">
        <x:v>2025上半年</x:v>
      </x:c>
      <x:c r="C214" s="4" t="str">
        <x:v>合并</x:v>
      </x:c>
      <x:c r="D214" s="4" t="n">
        <x:v>3</x:v>
      </x:c>
      <x:c r="E214" s="4" t="str">
        <x:v>3.买入返售金融资产净减少额</x:v>
      </x:c>
      <x:c r="F214" s="8" t="n">
        <x:v>0</x:v>
      </x:c>
      <x:c r="G214" s="8" t="n">
        <x:v>0</x:v>
      </x:c>
      <x:c r="H214" s="4" t="str">
        <x:v>-</x:v>
      </x:c>
      <x:c r="I214" s="4" t="str">
        <x:v>-</x:v>
      </x:c>
      <x:c r="J214" s="4" t="str">
        <x:v>华夏华润商业REIT_2025中报_20250830.pdf，PDF第39页，现金流量表</x:v>
      </x:c>
    </x:row>
    <x:row r="215" ht="32" customHeight="1">
      <x:c r="A215" s="4" t="str">
        <x:v>华夏华润商业REIT</x:v>
      </x:c>
      <x:c r="B215" s="4" t="str">
        <x:v>2025上半年</x:v>
      </x:c>
      <x:c r="C215" s="4" t="str">
        <x:v>合并</x:v>
      </x:c>
      <x:c r="D215" s="4" t="n">
        <x:v>4</x:v>
      </x:c>
      <x:c r="E215" s="4" t="str">
        <x:v>4.卖出回购金融资产款净增加额</x:v>
      </x:c>
      <x:c r="F215" s="8" t="n">
        <x:v>0</x:v>
      </x:c>
      <x:c r="G215" s="8" t="n">
        <x:v>0</x:v>
      </x:c>
      <x:c r="H215" s="4" t="str">
        <x:v>-</x:v>
      </x:c>
      <x:c r="I215" s="4" t="str">
        <x:v>-</x:v>
      </x:c>
      <x:c r="J215" s="4" t="str">
        <x:v>华夏华润商业REIT_2025中报_20250830.pdf，PDF第39页，现金流量表</x:v>
      </x:c>
    </x:row>
    <x:row r="216" ht="32" customHeight="1">
      <x:c r="A216" s="4" t="str">
        <x:v>华夏华润商业REIT</x:v>
      </x:c>
      <x:c r="B216" s="4" t="str">
        <x:v>2025上半年</x:v>
      </x:c>
      <x:c r="C216" s="4" t="str">
        <x:v>合并</x:v>
      </x:c>
      <x:c r="D216" s="4" t="n">
        <x:v>5</x:v>
      </x:c>
      <x:c r="E216" s="4" t="str">
        <x:v>5.取得利息收入收到的现金</x:v>
      </x:c>
      <x:c r="F216" s="8" t="n">
        <x:v>4165851.22</x:v>
      </x:c>
      <x:c r="G216" s="8" t="n">
        <x:v>7229570.43</x:v>
      </x:c>
      <x:c r="H216" s="4" t="str">
        <x:v>4,165,851.22</x:v>
      </x:c>
      <x:c r="I216" s="4" t="str">
        <x:v>7,229,570.43</x:v>
      </x:c>
      <x:c r="J216" s="4" t="str">
        <x:v>华夏华润商业REIT_2025中报_20250830.pdf，PDF第39页，现金流量表</x:v>
      </x:c>
    </x:row>
    <x:row r="217" ht="32" customHeight="1">
      <x:c r="A217" s="4" t="str">
        <x:v>华夏华润商业REIT</x:v>
      </x:c>
      <x:c r="B217" s="4" t="str">
        <x:v>2025上半年</x:v>
      </x:c>
      <x:c r="C217" s="4" t="str">
        <x:v>合并</x:v>
      </x:c>
      <x:c r="D217" s="4" t="n">
        <x:v>6</x:v>
      </x:c>
      <x:c r="E217" s="4" t="str">
        <x:v>6.收到的税费返还</x:v>
      </x:c>
      <x:c r="F217" s="8" t="n">
        <x:v>7327829.51</x:v>
      </x:c>
      <x:c r="G217" s="8" t="n">
        <x:v>0</x:v>
      </x:c>
      <x:c r="H217" s="4" t="str">
        <x:v>7,327,829.51</x:v>
      </x:c>
      <x:c r="I217" s="4" t="str">
        <x:v>-</x:v>
      </x:c>
      <x:c r="J217" s="4" t="str">
        <x:v>华夏华润商业REIT_2025中报_20250830.pdf，PDF第39页，现金流量表</x:v>
      </x:c>
    </x:row>
    <x:row r="218" ht="32" customHeight="1">
      <x:c r="A218" s="4" t="str">
        <x:v>华夏华润商业REIT</x:v>
      </x:c>
      <x:c r="B218" s="4" t="str">
        <x:v>2025上半年</x:v>
      </x:c>
      <x:c r="C218" s="4" t="str">
        <x:v>合并</x:v>
      </x:c>
      <x:c r="D218" s="4" t="n">
        <x:v>7</x:v>
      </x:c>
      <x:c r="E218" s="4" t="str">
        <x:v>7.收到其他与经营活动有关的现金</x:v>
      </x:c>
      <x:c r="F218" s="8" t="n">
        <x:v>661856337.3</x:v>
      </x:c>
      <x:c r="G218" s="8" t="n">
        <x:v>435978567.43</x:v>
      </x:c>
      <x:c r="H218" s="4" t="str">
        <x:v>661,856,337.30</x:v>
      </x:c>
      <x:c r="I218" s="4" t="str">
        <x:v>435,978,567.43</x:v>
      </x:c>
      <x:c r="J218" s="4" t="str">
        <x:v>华夏华润商业REIT_2025中报_20250830.pdf，PDF第39页，现金流量表</x:v>
      </x:c>
    </x:row>
    <x:row r="219" ht="42" customHeight="1">
      <x:c r="A219" s="4" t="str">
        <x:v>华夏华润商业REIT</x:v>
      </x:c>
      <x:c r="B219" s="4" t="str">
        <x:v>2025上半年</x:v>
      </x:c>
      <x:c r="C219" s="4" t="str">
        <x:v>合并</x:v>
      </x:c>
      <x:c r="D219" s="4" t="n">
        <x:v>8</x:v>
      </x:c>
      <x:c r="E219" s="4" t="str">
        <x:v>经营活动现金流入小计</x:v>
      </x:c>
      <x:c r="F219" s="8" t="n">
        <x:v>1045707475.39</x:v>
      </x:c>
      <x:c r="G219" s="8" t="n">
        <x:v>768854969.01</x:v>
      </x:c>
      <x:c r="H219" s="4" t="str">
        <x:v>1,045,707,475.39</x:v>
      </x:c>
      <x:c r="I219" s="4" t="str">
        <x:v>768,854,969.01</x:v>
      </x:c>
      <x:c r="J219" s="4" t="str">
        <x:v>华夏华润商业REIT_2025中报_20250830.pdf，PDF第39页，现金流量表</x:v>
      </x:c>
    </x:row>
    <x:row r="220" ht="32" customHeight="1">
      <x:c r="A220" s="4" t="str">
        <x:v>华夏华润商业REIT</x:v>
      </x:c>
      <x:c r="B220" s="4" t="str">
        <x:v>2025上半年</x:v>
      </x:c>
      <x:c r="C220" s="4" t="str">
        <x:v>合并</x:v>
      </x:c>
      <x:c r="D220" s="4" t="n">
        <x:v>9</x:v>
      </x:c>
      <x:c r="E220" s="4" t="str">
        <x:v>8.购买商品、接受劳务支付的现金</x:v>
      </x:c>
      <x:c r="F220" s="8" t="n">
        <x:v>100502830.62</x:v>
      </x:c>
      <x:c r="G220" s="8" t="n">
        <x:v>113634461.11</x:v>
      </x:c>
      <x:c r="H220" s="4" t="str">
        <x:v>100,502,830.62</x:v>
      </x:c>
      <x:c r="I220" s="4" t="str">
        <x:v>113,634,461.11</x:v>
      </x:c>
      <x:c r="J220" s="4" t="str">
        <x:v>华夏华润商业REIT_2025中报_20250830.pdf，PDF第39页，现金流量表</x:v>
      </x:c>
    </x:row>
    <x:row r="221" ht="32" customHeight="1">
      <x:c r="A221" s="4" t="str">
        <x:v>华夏华润商业REIT</x:v>
      </x:c>
      <x:c r="B221" s="4" t="str">
        <x:v>2025上半年</x:v>
      </x:c>
      <x:c r="C221" s="4" t="str">
        <x:v>合并</x:v>
      </x:c>
      <x:c r="D221" s="4" t="n">
        <x:v>10</x:v>
      </x:c>
      <x:c r="E221" s="4" t="str">
        <x:v>9.取得证券投资支付的现金净额</x:v>
      </x:c>
      <x:c r="F221" s="8" t="n">
        <x:v>0</x:v>
      </x:c>
      <x:c r="G221" s="8" t="n">
        <x:v>0</x:v>
      </x:c>
      <x:c r="H221" s="4" t="str">
        <x:v>-</x:v>
      </x:c>
      <x:c r="I221" s="4" t="str">
        <x:v>-</x:v>
      </x:c>
      <x:c r="J221" s="4" t="str">
        <x:v>华夏华润商业REIT_2025中报_20250830.pdf，PDF第39页，现金流量表</x:v>
      </x:c>
    </x:row>
    <x:row r="222" ht="32" customHeight="1">
      <x:c r="A222" s="4" t="str">
        <x:v>华夏华润商业REIT</x:v>
      </x:c>
      <x:c r="B222" s="4" t="str">
        <x:v>2025上半年</x:v>
      </x:c>
      <x:c r="C222" s="4" t="str">
        <x:v>合并</x:v>
      </x:c>
      <x:c r="D222" s="4" t="n">
        <x:v>11</x:v>
      </x:c>
      <x:c r="E222" s="4" t="str">
        <x:v>10.买入返售金融资产净增加额</x:v>
      </x:c>
      <x:c r="F222" s="8" t="n">
        <x:v>0</x:v>
      </x:c>
      <x:c r="G222" s="8" t="n">
        <x:v>0</x:v>
      </x:c>
      <x:c r="H222" s="4" t="str">
        <x:v>-</x:v>
      </x:c>
      <x:c r="I222" s="4" t="str">
        <x:v>-</x:v>
      </x:c>
      <x:c r="J222" s="4" t="str">
        <x:v>华夏华润商业REIT_2025中报_20250830.pdf，PDF第39页，现金流量表</x:v>
      </x:c>
    </x:row>
    <x:row r="223" ht="32" customHeight="1">
      <x:c r="A223" s="4" t="str">
        <x:v>华夏华润商业REIT</x:v>
      </x:c>
      <x:c r="B223" s="4" t="str">
        <x:v>2025上半年</x:v>
      </x:c>
      <x:c r="C223" s="4" t="str">
        <x:v>合并</x:v>
      </x:c>
      <x:c r="D223" s="4" t="n">
        <x:v>12</x:v>
      </x:c>
      <x:c r="E223" s="4" t="str">
        <x:v>11.卖出回购金融资产款净减少额</x:v>
      </x:c>
      <x:c r="F223" s="8" t="n">
        <x:v>0</x:v>
      </x:c>
      <x:c r="G223" s="8" t="n">
        <x:v>0</x:v>
      </x:c>
      <x:c r="H223" s="4" t="str">
        <x:v>-</x:v>
      </x:c>
      <x:c r="I223" s="4" t="str">
        <x:v>-</x:v>
      </x:c>
      <x:c r="J223" s="4" t="str">
        <x:v>华夏华润商业REIT_2025中报_20250830.pdf，PDF第39页，现金流量表</x:v>
      </x:c>
    </x:row>
    <x:row r="224" ht="32" customHeight="1">
      <x:c r="A224" s="4" t="str">
        <x:v>华夏华润商业REIT</x:v>
      </x:c>
      <x:c r="B224" s="4" t="str">
        <x:v>2025上半年</x:v>
      </x:c>
      <x:c r="C224" s="4" t="str">
        <x:v>合并</x:v>
      </x:c>
      <x:c r="D224" s="4" t="n">
        <x:v>13</x:v>
      </x:c>
      <x:c r="E224" s="4" t="str">
        <x:v>12.支付给职工以及为职工支付的现金</x:v>
      </x:c>
      <x:c r="F224" s="8" t="n">
        <x:v>0</x:v>
      </x:c>
      <x:c r="G224" s="8" t="n">
        <x:v>243400.93</x:v>
      </x:c>
      <x:c r="H224" s="4" t="str">
        <x:v>-</x:v>
      </x:c>
      <x:c r="I224" s="4" t="str">
        <x:v>243,400.93</x:v>
      </x:c>
      <x:c r="J224" s="4" t="str">
        <x:v>华夏华润商业REIT_2025中报_20250830.pdf，PDF第39页，现金流量表</x:v>
      </x:c>
    </x:row>
    <x:row r="225" ht="32" customHeight="1">
      <x:c r="A225" s="4" t="str">
        <x:v>华夏华润商业REIT</x:v>
      </x:c>
      <x:c r="B225" s="4" t="str">
        <x:v>2025上半年</x:v>
      </x:c>
      <x:c r="C225" s="4" t="str">
        <x:v>合并</x:v>
      </x:c>
      <x:c r="D225" s="4" t="n">
        <x:v>14</x:v>
      </x:c>
      <x:c r="E225" s="4" t="str">
        <x:v>13.支付的各项税费</x:v>
      </x:c>
      <x:c r="F225" s="8" t="n">
        <x:v>61534481.64</x:v>
      </x:c>
      <x:c r="G225" s="8" t="n">
        <x:v>41344413.24</x:v>
      </x:c>
      <x:c r="H225" s="4" t="str">
        <x:v>61,534,481.64</x:v>
      </x:c>
      <x:c r="I225" s="4" t="str">
        <x:v>41,344,413.24</x:v>
      </x:c>
      <x:c r="J225" s="4" t="str">
        <x:v>华夏华润商业REIT_2025中报_20250830.pdf，PDF第39页，现金流量表</x:v>
      </x:c>
    </x:row>
    <x:row r="226" ht="32" customHeight="1">
      <x:c r="A226" s="4" t="str">
        <x:v>华夏华润商业REIT</x:v>
      </x:c>
      <x:c r="B226" s="4" t="str">
        <x:v>2025上半年</x:v>
      </x:c>
      <x:c r="C226" s="4" t="str">
        <x:v>合并</x:v>
      </x:c>
      <x:c r="D226" s="4" t="n">
        <x:v>15</x:v>
      </x:c>
      <x:c r="E226" s="4" t="str">
        <x:v>14.支付其他与经营活动有关的现金</x:v>
      </x:c>
      <x:c r="F226" s="8" t="n">
        <x:v>679295378.87</x:v>
      </x:c>
      <x:c r="G226" s="8" t="n">
        <x:v>521230934.63</x:v>
      </x:c>
      <x:c r="H226" s="4" t="str">
        <x:v>679,295,378.87</x:v>
      </x:c>
      <x:c r="I226" s="4" t="str">
        <x:v>521,230,934.63</x:v>
      </x:c>
      <x:c r="J226" s="4" t="str">
        <x:v>华夏华润商业REIT_2025中报_20250830.pdf，PDF第39页，现金流量表</x:v>
      </x:c>
    </x:row>
    <x:row r="227" ht="32" customHeight="1">
      <x:c r="A227" s="4" t="str">
        <x:v>华夏华润商业REIT</x:v>
      </x:c>
      <x:c r="B227" s="4" t="str">
        <x:v>2025上半年</x:v>
      </x:c>
      <x:c r="C227" s="4" t="str">
        <x:v>合并</x:v>
      </x:c>
      <x:c r="D227" s="4" t="n">
        <x:v>16</x:v>
      </x:c>
      <x:c r="E227" s="4" t="str">
        <x:v>经营活动现金流出小计</x:v>
      </x:c>
      <x:c r="F227" s="8" t="n">
        <x:v>841332691.13</x:v>
      </x:c>
      <x:c r="G227" s="8" t="n">
        <x:v>676453209.91</x:v>
      </x:c>
      <x:c r="H227" s="4" t="str">
        <x:v>841,332,691.13</x:v>
      </x:c>
      <x:c r="I227" s="4" t="str">
        <x:v>676,453,209.91</x:v>
      </x:c>
      <x:c r="J227" s="4" t="str">
        <x:v>华夏华润商业REIT_2025中报_20250830.pdf，PDF第39页，现金流量表</x:v>
      </x:c>
    </x:row>
    <x:row r="228" ht="32" customHeight="1">
      <x:c r="A228" s="4" t="str">
        <x:v>华夏华润商业REIT</x:v>
      </x:c>
      <x:c r="B228" s="4" t="str">
        <x:v>2025上半年</x:v>
      </x:c>
      <x:c r="C228" s="4" t="str">
        <x:v>合并</x:v>
      </x:c>
      <x:c r="D228" s="4" t="n">
        <x:v>17</x:v>
      </x:c>
      <x:c r="E228" s="4" t="str">
        <x:v>经营活动产生的现金流量净额</x:v>
      </x:c>
      <x:c r="F228" s="8" t="n">
        <x:v>204374784.26</x:v>
      </x:c>
      <x:c r="G228" s="8" t="n">
        <x:v>92401759.1</x:v>
      </x:c>
      <x:c r="H228" s="4" t="str">
        <x:v>204,374,784.26</x:v>
      </x:c>
      <x:c r="I228" s="4" t="str">
        <x:v>92,401,759.10</x:v>
      </x:c>
      <x:c r="J228" s="4" t="str">
        <x:v>华夏华润商业REIT_2025中报_20250830.pdf，PDF第39页，现金流量表</x:v>
      </x:c>
    </x:row>
    <x:row r="229" ht="32" customHeight="1">
      <x:c r="A229" s="4" t="str">
        <x:v>华夏华润商业REIT</x:v>
      </x:c>
      <x:c r="B229" s="4" t="str">
        <x:v>2025上半年</x:v>
      </x:c>
      <x:c r="C229" s="4" t="str">
        <x:v>合并</x:v>
      </x:c>
      <x:c r="D229" s="4" t="n">
        <x:v>18</x:v>
      </x:c>
      <x:c r="E229" s="4" t="str">
        <x:v>15.处置固定资产、无形资产和其他长期资产收到的现金净额</x:v>
      </x:c>
      <x:c r="F229" s="8" t="n">
        <x:v>0</x:v>
      </x:c>
      <x:c r="G229" s="8" t="n">
        <x:v>0</x:v>
      </x:c>
      <x:c r="H229" s="4" t="str">
        <x:v>-</x:v>
      </x:c>
      <x:c r="I229" s="4" t="str">
        <x:v>-</x:v>
      </x:c>
      <x:c r="J229" s="4" t="str">
        <x:v>华夏华润商业REIT_2025中报_20250830.pdf，PDF第39页，现金流量表</x:v>
      </x:c>
    </x:row>
    <x:row r="230" ht="32" customHeight="1">
      <x:c r="A230" s="4" t="str">
        <x:v>华夏华润商业REIT</x:v>
      </x:c>
      <x:c r="B230" s="4" t="str">
        <x:v>2025上半年</x:v>
      </x:c>
      <x:c r="C230" s="4" t="str">
        <x:v>合并</x:v>
      </x:c>
      <x:c r="D230" s="4" t="n">
        <x:v>19</x:v>
      </x:c>
      <x:c r="E230" s="4" t="str">
        <x:v>16.处置子公司及其他营业单位收到的现金净额</x:v>
      </x:c>
      <x:c r="F230" s="8" t="n">
        <x:v>0</x:v>
      </x:c>
      <x:c r="G230" s="8" t="n">
        <x:v>0</x:v>
      </x:c>
      <x:c r="H230" s="4" t="str">
        <x:v>-</x:v>
      </x:c>
      <x:c r="I230" s="4" t="str">
        <x:v>-</x:v>
      </x:c>
      <x:c r="J230" s="4" t="str">
        <x:v>华夏华润商业REIT_2025中报_20250830.pdf，PDF第39页，现金流量表</x:v>
      </x:c>
    </x:row>
    <x:row r="231" ht="32" customHeight="1">
      <x:c r="A231" s="4" t="str">
        <x:v>华夏华润商业REIT</x:v>
      </x:c>
      <x:c r="B231" s="4" t="str">
        <x:v>2025上半年</x:v>
      </x:c>
      <x:c r="C231" s="4" t="str">
        <x:v>合并</x:v>
      </x:c>
      <x:c r="D231" s="4" t="n">
        <x:v>20</x:v>
      </x:c>
      <x:c r="E231" s="4" t="str">
        <x:v>17.收到其他与投资活动有关的现金</x:v>
      </x:c>
      <x:c r="F231" s="8" t="n">
        <x:v>280000000</x:v>
      </x:c>
      <x:c r="G231" s="8" t="n">
        <x:v>0</x:v>
      </x:c>
      <x:c r="H231" s="4" t="str">
        <x:v>280,000,000.00</x:v>
      </x:c>
      <x:c r="I231" s="4" t="str">
        <x:v>-</x:v>
      </x:c>
      <x:c r="J231" s="4" t="str">
        <x:v>华夏华润商业REIT_2025中报_20250830.pdf，PDF第39页，现金流量表</x:v>
      </x:c>
    </x:row>
    <x:row r="232" ht="32" customHeight="1">
      <x:c r="A232" s="4" t="str">
        <x:v>华夏华润商业REIT</x:v>
      </x:c>
      <x:c r="B232" s="4" t="str">
        <x:v>2025上半年</x:v>
      </x:c>
      <x:c r="C232" s="4" t="str">
        <x:v>合并</x:v>
      </x:c>
      <x:c r="D232" s="4" t="n">
        <x:v>21</x:v>
      </x:c>
      <x:c r="E232" s="4" t="str">
        <x:v>投资活动现金流入小计</x:v>
      </x:c>
      <x:c r="F232" s="8" t="n">
        <x:v>280000000</x:v>
      </x:c>
      <x:c r="G232" s="8" t="n">
        <x:v>0</x:v>
      </x:c>
      <x:c r="H232" s="4" t="str">
        <x:v>280,000,000.00</x:v>
      </x:c>
      <x:c r="I232" s="4" t="str">
        <x:v>-</x:v>
      </x:c>
      <x:c r="J232" s="4" t="str">
        <x:v>华夏华润商业REIT_2025中报_20250830.pdf，PDF第39页，现金流量表</x:v>
      </x:c>
    </x:row>
    <x:row r="233" ht="32" customHeight="1">
      <x:c r="A233" s="4" t="str">
        <x:v>华夏华润商业REIT</x:v>
      </x:c>
      <x:c r="B233" s="4" t="str">
        <x:v>2025上半年</x:v>
      </x:c>
      <x:c r="C233" s="4" t="str">
        <x:v>合并</x:v>
      </x:c>
      <x:c r="D233" s="4" t="n">
        <x:v>22</x:v>
      </x:c>
      <x:c r="E233" s="4" t="str">
        <x:v>18.购建固定资产、无形资产和其他长期资产支付的现金</x:v>
      </x:c>
      <x:c r="F233" s="8" t="n">
        <x:v>48759498.9</x:v>
      </x:c>
      <x:c r="G233" s="8" t="n">
        <x:v>26720083.25</x:v>
      </x:c>
      <x:c r="H233" s="4" t="str">
        <x:v>48,759,498.90</x:v>
      </x:c>
      <x:c r="I233" s="4" t="str">
        <x:v>26,720,083.25</x:v>
      </x:c>
      <x:c r="J233" s="4" t="str">
        <x:v>华夏华润商业REIT_2025中报_20250830.pdf，PDF第39页，现金流量表</x:v>
      </x:c>
    </x:row>
    <x:row r="234" ht="42" customHeight="1">
      <x:c r="A234" s="4" t="str">
        <x:v>华夏华润商业REIT</x:v>
      </x:c>
      <x:c r="B234" s="4" t="str">
        <x:v>2025上半年</x:v>
      </x:c>
      <x:c r="C234" s="4" t="str">
        <x:v>合并</x:v>
      </x:c>
      <x:c r="D234" s="4" t="n">
        <x:v>23</x:v>
      </x:c>
      <x:c r="E234" s="4" t="str">
        <x:v>19.取得子公司及其他营业单位支付的现金净额</x:v>
      </x:c>
      <x:c r="F234" s="8" t="n">
        <x:v>0</x:v>
      </x:c>
      <x:c r="G234" s="8" t="n">
        <x:v>5520710998.92</x:v>
      </x:c>
      <x:c r="H234" s="4" t="str">
        <x:v>-</x:v>
      </x:c>
      <x:c r="I234" s="4" t="str">
        <x:v>5,520,710,998.92</x:v>
      </x:c>
      <x:c r="J234" s="4" t="str">
        <x:v>华夏华润商业REIT_2025中报_20250830.pdf，PDF第39页，现金流量表</x:v>
      </x:c>
    </x:row>
    <x:row r="235" ht="32" customHeight="1">
      <x:c r="A235" s="4" t="str">
        <x:v>华夏华润商业REIT</x:v>
      </x:c>
      <x:c r="B235" s="4" t="str">
        <x:v>2025上半年</x:v>
      </x:c>
      <x:c r="C235" s="4" t="str">
        <x:v>合并</x:v>
      </x:c>
      <x:c r="D235" s="4" t="n">
        <x:v>24</x:v>
      </x:c>
      <x:c r="E235" s="4" t="str">
        <x:v>20.支付其他与投资活动有关的现金</x:v>
      </x:c>
      <x:c r="F235" s="8" t="n">
        <x:v>360000000</x:v>
      </x:c>
      <x:c r="G235" s="8" t="n">
        <x:v>366076.38</x:v>
      </x:c>
      <x:c r="H235" s="4" t="str">
        <x:v>360,000,000.00</x:v>
      </x:c>
      <x:c r="I235" s="4" t="str">
        <x:v>366,076.38</x:v>
      </x:c>
      <x:c r="J235" s="4" t="str">
        <x:v>华夏华润商业REIT_2025中报_20250830.pdf，PDF第39页，现金流量表</x:v>
      </x:c>
    </x:row>
    <x:row r="236" ht="42" customHeight="1">
      <x:c r="A236" s="4" t="str">
        <x:v>华夏华润商业REIT</x:v>
      </x:c>
      <x:c r="B236" s="4" t="str">
        <x:v>2025上半年</x:v>
      </x:c>
      <x:c r="C236" s="4" t="str">
        <x:v>合并</x:v>
      </x:c>
      <x:c r="D236" s="4" t="n">
        <x:v>25</x:v>
      </x:c>
      <x:c r="E236" s="4" t="str">
        <x:v>投资活动现金流出小计</x:v>
      </x:c>
      <x:c r="F236" s="8" t="n">
        <x:v>408759498.9</x:v>
      </x:c>
      <x:c r="G236" s="8" t="n">
        <x:v>5547797158.55</x:v>
      </x:c>
      <x:c r="H236" s="4" t="str">
        <x:v>408,759,498.90</x:v>
      </x:c>
      <x:c r="I236" s="4" t="str">
        <x:v>5,547,797,158.55</x:v>
      </x:c>
      <x:c r="J236" s="4" t="str">
        <x:v>华夏华润商业REIT_2025中报_20250830.pdf，PDF第39页，现金流量表</x:v>
      </x:c>
    </x:row>
    <x:row r="237" ht="42" customHeight="1">
      <x:c r="A237" s="4" t="str">
        <x:v>华夏华润商业REIT</x:v>
      </x:c>
      <x:c r="B237" s="4" t="str">
        <x:v>2025上半年</x:v>
      </x:c>
      <x:c r="C237" s="4" t="str">
        <x:v>合并</x:v>
      </x:c>
      <x:c r="D237" s="4" t="n">
        <x:v>26</x:v>
      </x:c>
      <x:c r="E237" s="4" t="str">
        <x:v>投资活动产生的现金流量净额</x:v>
      </x:c>
      <x:c r="F237" s="8" t="n">
        <x:v>-128759498.9</x:v>
      </x:c>
      <x:c r="G237" s="8" t="n">
        <x:v>-5547797158.55</x:v>
      </x:c>
      <x:c r="H237" s="4" t="str">
        <x:v>-128,759,498.90</x:v>
      </x:c>
      <x:c r="I237" s="4" t="str">
        <x:v>-5,547,797,158.55</x:v>
      </x:c>
      <x:c r="J237" s="4" t="str">
        <x:v>华夏华润商业REIT_2025中报_20250830.pdf，PDF第40页，现金流量表</x:v>
      </x:c>
    </x:row>
    <x:row r="238" ht="32" customHeight="1">
      <x:c r="A238" s="4" t="str">
        <x:v>华夏华润商业REIT</x:v>
      </x:c>
      <x:c r="B238" s="4" t="str">
        <x:v>2025上半年</x:v>
      </x:c>
      <x:c r="C238" s="4" t="str">
        <x:v>合并</x:v>
      </x:c>
      <x:c r="D238" s="4" t="n">
        <x:v>27</x:v>
      </x:c>
      <x:c r="E238" s="4" t="str">
        <x:v>21.认购／申购收到的现金</x:v>
      </x:c>
      <x:c r="F238" s="8" t="n">
        <x:v>0</x:v>
      </x:c>
      <x:c r="G238" s="8" t="n">
        <x:v>0</x:v>
      </x:c>
      <x:c r="H238" s="4" t="str">
        <x:v>-</x:v>
      </x:c>
      <x:c r="I238" s="4" t="str">
        <x:v>-</x:v>
      </x:c>
      <x:c r="J238" s="4" t="str">
        <x:v>华夏华润商业REIT_2025中报_20250830.pdf，PDF第40页，现金流量表</x:v>
      </x:c>
    </x:row>
    <x:row r="239" ht="42" customHeight="1">
      <x:c r="A239" s="4" t="str">
        <x:v>华夏华润商业REIT</x:v>
      </x:c>
      <x:c r="B239" s="4" t="str">
        <x:v>2025上半年</x:v>
      </x:c>
      <x:c r="C239" s="4" t="str">
        <x:v>合并</x:v>
      </x:c>
      <x:c r="D239" s="4" t="n">
        <x:v>28</x:v>
      </x:c>
      <x:c r="E239" s="4" t="str">
        <x:v>22.取得借款收到的现金</x:v>
      </x:c>
      <x:c r="F239" s="8" t="n">
        <x:v>0</x:v>
      </x:c>
      <x:c r="G239" s="8" t="n">
        <x:v>1230300000</x:v>
      </x:c>
      <x:c r="H239" s="4" t="str">
        <x:v>-</x:v>
      </x:c>
      <x:c r="I239" s="4" t="str">
        <x:v>1,230,300,000.00</x:v>
      </x:c>
      <x:c r="J239" s="4" t="str">
        <x:v>华夏华润商业REIT_2025中报_20250830.pdf，PDF第40页，现金流量表</x:v>
      </x:c>
    </x:row>
    <x:row r="240" ht="32" customHeight="1">
      <x:c r="A240" s="4" t="str">
        <x:v>华夏华润商业REIT</x:v>
      </x:c>
      <x:c r="B240" s="4" t="str">
        <x:v>2025上半年</x:v>
      </x:c>
      <x:c r="C240" s="4" t="str">
        <x:v>合并</x:v>
      </x:c>
      <x:c r="D240" s="4" t="n">
        <x:v>29</x:v>
      </x:c>
      <x:c r="E240" s="4" t="str">
        <x:v>23.收到其他与筹资活动有关的现金</x:v>
      </x:c>
      <x:c r="F240" s="8" t="n">
        <x:v>0</x:v>
      </x:c>
      <x:c r="G240" s="8" t="n">
        <x:v>0</x:v>
      </x:c>
      <x:c r="H240" s="4" t="str">
        <x:v>-</x:v>
      </x:c>
      <x:c r="I240" s="4" t="str">
        <x:v>-</x:v>
      </x:c>
      <x:c r="J240" s="4" t="str">
        <x:v>华夏华润商业REIT_2025中报_20250830.pdf，PDF第40页，现金流量表</x:v>
      </x:c>
    </x:row>
    <x:row r="241" ht="42" customHeight="1">
      <x:c r="A241" s="4" t="str">
        <x:v>华夏华润商业REIT</x:v>
      </x:c>
      <x:c r="B241" s="4" t="str">
        <x:v>2025上半年</x:v>
      </x:c>
      <x:c r="C241" s="4" t="str">
        <x:v>合并</x:v>
      </x:c>
      <x:c r="D241" s="4" t="n">
        <x:v>30</x:v>
      </x:c>
      <x:c r="E241" s="4" t="str">
        <x:v>筹资活动现金流入小计</x:v>
      </x:c>
      <x:c r="F241" s="8" t="n">
        <x:v>0</x:v>
      </x:c>
      <x:c r="G241" s="8" t="n">
        <x:v>1230300000</x:v>
      </x:c>
      <x:c r="H241" s="4" t="str">
        <x:v>-</x:v>
      </x:c>
      <x:c r="I241" s="4" t="str">
        <x:v>1,230,300,000.00</x:v>
      </x:c>
      <x:c r="J241" s="4" t="str">
        <x:v>华夏华润商业REIT_2025中报_20250830.pdf，PDF第40页，现金流量表</x:v>
      </x:c>
    </x:row>
    <x:row r="242" ht="32" customHeight="1">
      <x:c r="A242" s="4" t="str">
        <x:v>华夏华润商业REIT</x:v>
      </x:c>
      <x:c r="B242" s="4" t="str">
        <x:v>2025上半年</x:v>
      </x:c>
      <x:c r="C242" s="4" t="str">
        <x:v>合并</x:v>
      </x:c>
      <x:c r="D242" s="4" t="n">
        <x:v>31</x:v>
      </x:c>
      <x:c r="E242" s="4" t="str">
        <x:v>24.赎回支付的现金</x:v>
      </x:c>
      <x:c r="F242" s="8" t="n">
        <x:v>0</x:v>
      </x:c>
      <x:c r="G242" s="8" t="n">
        <x:v>0</x:v>
      </x:c>
      <x:c r="H242" s="4" t="str">
        <x:v>-</x:v>
      </x:c>
      <x:c r="I242" s="4" t="str">
        <x:v>-</x:v>
      </x:c>
      <x:c r="J242" s="4" t="str">
        <x:v>华夏华润商业REIT_2025中报_20250830.pdf，PDF第40页，现金流量表</x:v>
      </x:c>
    </x:row>
    <x:row r="243" ht="42" customHeight="1">
      <x:c r="A243" s="4" t="str">
        <x:v>华夏华润商业REIT</x:v>
      </x:c>
      <x:c r="B243" s="4" t="str">
        <x:v>2025上半年</x:v>
      </x:c>
      <x:c r="C243" s="4" t="str">
        <x:v>合并</x:v>
      </x:c>
      <x:c r="D243" s="4" t="n">
        <x:v>32</x:v>
      </x:c>
      <x:c r="E243" s="4" t="str">
        <x:v>25.偿还借款支付的现金</x:v>
      </x:c>
      <x:c r="F243" s="8" t="n">
        <x:v>50000</x:v>
      </x:c>
      <x:c r="G243" s="8" t="n">
        <x:v>1903773488.37</x:v>
      </x:c>
      <x:c r="H243" s="4" t="str">
        <x:v>50,000.00</x:v>
      </x:c>
      <x:c r="I243" s="4" t="str">
        <x:v>1,903,773,488.37</x:v>
      </x:c>
      <x:c r="J243" s="4" t="str">
        <x:v>华夏华润商业REIT_2025中报_20250830.pdf，PDF第40页，现金流量表</x:v>
      </x:c>
    </x:row>
    <x:row r="244" ht="32" customHeight="1">
      <x:c r="A244" s="4" t="str">
        <x:v>华夏华润商业REIT</x:v>
      </x:c>
      <x:c r="B244" s="4" t="str">
        <x:v>2025上半年</x:v>
      </x:c>
      <x:c r="C244" s="4" t="str">
        <x:v>合并</x:v>
      </x:c>
      <x:c r="D244" s="4" t="n">
        <x:v>33</x:v>
      </x:c>
      <x:c r="E244" s="4" t="str">
        <x:v>26.偿付利息支付的现金</x:v>
      </x:c>
      <x:c r="F244" s="8" t="n">
        <x:v>14802241.42</x:v>
      </x:c>
      <x:c r="G244" s="8" t="n">
        <x:v>27231748.29</x:v>
      </x:c>
      <x:c r="H244" s="4" t="str">
        <x:v>14,802,241.42</x:v>
      </x:c>
      <x:c r="I244" s="4" t="str">
        <x:v>27,231,748.29</x:v>
      </x:c>
      <x:c r="J244" s="4" t="str">
        <x:v>华夏华润商业REIT_2025中报_20250830.pdf，PDF第40页，现金流量表</x:v>
      </x:c>
    </x:row>
    <x:row r="245" ht="32" customHeight="1">
      <x:c r="A245" s="4" t="str">
        <x:v>华夏华润商业REIT</x:v>
      </x:c>
      <x:c r="B245" s="4" t="str">
        <x:v>2025上半年</x:v>
      </x:c>
      <x:c r="C245" s="4" t="str">
        <x:v>合并</x:v>
      </x:c>
      <x:c r="D245" s="4" t="n">
        <x:v>34</x:v>
      </x:c>
      <x:c r="E245" s="4" t="str">
        <x:v>27.分配支付的现金</x:v>
      </x:c>
      <x:c r="F245" s="8" t="n">
        <x:v>176939993.37</x:v>
      </x:c>
      <x:c r="G245" s="8" t="n">
        <x:v>51219997.68</x:v>
      </x:c>
      <x:c r="H245" s="4" t="str">
        <x:v>176,939,993.37</x:v>
      </x:c>
      <x:c r="I245" s="4" t="str">
        <x:v>51,219,997.68</x:v>
      </x:c>
      <x:c r="J245" s="4" t="str">
        <x:v>华夏华润商业REIT_2025中报_20250830.pdf，PDF第40页，现金流量表</x:v>
      </x:c>
    </x:row>
    <x:row r="246" ht="32" customHeight="1">
      <x:c r="A246" s="4" t="str">
        <x:v>华夏华润商业REIT</x:v>
      </x:c>
      <x:c r="B246" s="4" t="str">
        <x:v>2025上半年</x:v>
      </x:c>
      <x:c r="C246" s="4" t="str">
        <x:v>合并</x:v>
      </x:c>
      <x:c r="D246" s="4" t="n">
        <x:v>35</x:v>
      </x:c>
      <x:c r="E246" s="4" t="str">
        <x:v>28.支付其他与筹资活动有关的现金</x:v>
      </x:c>
      <x:c r="F246" s="8" t="n">
        <x:v>0</x:v>
      </x:c>
      <x:c r="G246" s="8" t="n">
        <x:v>0</x:v>
      </x:c>
      <x:c r="H246" s="4" t="str">
        <x:v>-</x:v>
      </x:c>
      <x:c r="I246" s="4" t="str">
        <x:v>-</x:v>
      </x:c>
      <x:c r="J246" s="4" t="str">
        <x:v>华夏华润商业REIT_2025中报_20250830.pdf，PDF第40页，现金流量表</x:v>
      </x:c>
    </x:row>
    <x:row r="247" ht="42" customHeight="1">
      <x:c r="A247" s="4" t="str">
        <x:v>华夏华润商业REIT</x:v>
      </x:c>
      <x:c r="B247" s="4" t="str">
        <x:v>2025上半年</x:v>
      </x:c>
      <x:c r="C247" s="4" t="str">
        <x:v>合并</x:v>
      </x:c>
      <x:c r="D247" s="4" t="n">
        <x:v>36</x:v>
      </x:c>
      <x:c r="E247" s="4" t="str">
        <x:v>筹资活动现金流出小计</x:v>
      </x:c>
      <x:c r="F247" s="8" t="n">
        <x:v>191792234.79</x:v>
      </x:c>
      <x:c r="G247" s="8" t="n">
        <x:v>1982225234.34</x:v>
      </x:c>
      <x:c r="H247" s="4" t="str">
        <x:v>191,792,234.79</x:v>
      </x:c>
      <x:c r="I247" s="4" t="str">
        <x:v>1,982,225,234.34</x:v>
      </x:c>
      <x:c r="J247" s="4" t="str">
        <x:v>华夏华润商业REIT_2025中报_20250830.pdf，PDF第40页，现金流量表</x:v>
      </x:c>
    </x:row>
    <x:row r="248" ht="42" customHeight="1">
      <x:c r="A248" s="4" t="str">
        <x:v>华夏华润商业REIT</x:v>
      </x:c>
      <x:c r="B248" s="4" t="str">
        <x:v>2025上半年</x:v>
      </x:c>
      <x:c r="C248" s="4" t="str">
        <x:v>合并</x:v>
      </x:c>
      <x:c r="D248" s="4" t="n">
        <x:v>37</x:v>
      </x:c>
      <x:c r="E248" s="4" t="str">
        <x:v>筹资活动产生的现金流量净额</x:v>
      </x:c>
      <x:c r="F248" s="8" t="n">
        <x:v>-191792234.79</x:v>
      </x:c>
      <x:c r="G248" s="8" t="n">
        <x:v>-751925234.34</x:v>
      </x:c>
      <x:c r="H248" s="4" t="str">
        <x:v>-191,792,234.79</x:v>
      </x:c>
      <x:c r="I248" s="4" t="str">
        <x:v>-751,925,234.34</x:v>
      </x:c>
      <x:c r="J248" s="4" t="str">
        <x:v>华夏华润商业REIT_2025中报_20250830.pdf，PDF第40页，现金流量表</x:v>
      </x:c>
    </x:row>
    <x:row r="249" ht="32" customHeight="1">
      <x:c r="A249" s="4" t="str">
        <x:v>华夏华润商业REIT</x:v>
      </x:c>
      <x:c r="B249" s="4" t="str">
        <x:v>2025上半年</x:v>
      </x:c>
      <x:c r="C249" s="4" t="str">
        <x:v>合并</x:v>
      </x:c>
      <x:c r="D249" s="4" t="n">
        <x:v>38</x:v>
      </x:c>
      <x:c r="E249" s="4" t="str">
        <x:v>四、汇率变动对现金及现金等价物的影响</x:v>
      </x:c>
      <x:c r="F249" s="8" t="n">
        <x:v>0</x:v>
      </x:c>
      <x:c r="G249" s="8" t="n">
        <x:v>0</x:v>
      </x:c>
      <x:c r="H249" s="4" t="str">
        <x:v>-</x:v>
      </x:c>
      <x:c r="I249" s="4" t="str">
        <x:v>-</x:v>
      </x:c>
      <x:c r="J249" s="4" t="str">
        <x:v>华夏华润商业REIT_2025中报_20250830.pdf，PDF第40页，现金流量表</x:v>
      </x:c>
    </x:row>
    <x:row r="250" ht="42" customHeight="1">
      <x:c r="A250" s="4" t="str">
        <x:v>华夏华润商业REIT</x:v>
      </x:c>
      <x:c r="B250" s="4" t="str">
        <x:v>2025上半年</x:v>
      </x:c>
      <x:c r="C250" s="4" t="str">
        <x:v>合并</x:v>
      </x:c>
      <x:c r="D250" s="4" t="n">
        <x:v>39</x:v>
      </x:c>
      <x:c r="E250" s="4" t="str">
        <x:v>五、现金及现金等价物净增加额</x:v>
      </x:c>
      <x:c r="F250" s="8" t="n">
        <x:v>-116176949.43</x:v>
      </x:c>
      <x:c r="G250" s="8" t="n">
        <x:v>-6207320633.79</x:v>
      </x:c>
      <x:c r="H250" s="4" t="str">
        <x:v>-116,176,949.43</x:v>
      </x:c>
      <x:c r="I250" s="4" t="str">
        <x:v>-6,207,320,633.79</x:v>
      </x:c>
      <x:c r="J250" s="4" t="str">
        <x:v>华夏华润商业REIT_2025中报_20250830.pdf，PDF第40页，现金流量表</x:v>
      </x:c>
    </x:row>
    <x:row r="251" ht="42" customHeight="1">
      <x:c r="A251" s="4" t="str">
        <x:v>华夏华润商业REIT</x:v>
      </x:c>
      <x:c r="B251" s="4" t="str">
        <x:v>2025上半年</x:v>
      </x:c>
      <x:c r="C251" s="4" t="str">
        <x:v>合并</x:v>
      </x:c>
      <x:c r="D251" s="4" t="n">
        <x:v>40</x:v>
      </x:c>
      <x:c r="E251" s="4" t="str">
        <x:v>加：期初现金及现金等价物余额</x:v>
      </x:c>
      <x:c r="F251" s="8" t="n">
        <x:v>439341485.57</x:v>
      </x:c>
      <x:c r="G251" s="8" t="n">
        <x:v>6902000000.35</x:v>
      </x:c>
      <x:c r="H251" s="4" t="str">
        <x:v>439,341,485.57</x:v>
      </x:c>
      <x:c r="I251" s="4" t="str">
        <x:v>6,902,000,000.35</x:v>
      </x:c>
      <x:c r="J251" s="4" t="str">
        <x:v>华夏华润商业REIT_2025中报_20250830.pdf，PDF第40页，现金流量表</x:v>
      </x:c>
    </x:row>
    <x:row r="252" ht="32" customHeight="1">
      <x:c r="A252" s="4" t="str">
        <x:v>华夏华润商业REIT</x:v>
      </x:c>
      <x:c r="B252" s="4" t="str">
        <x:v>2025上半年</x:v>
      </x:c>
      <x:c r="C252" s="4" t="str">
        <x:v>合并</x:v>
      </x:c>
      <x:c r="D252" s="4" t="n">
        <x:v>41</x:v>
      </x:c>
      <x:c r="E252" s="4" t="str">
        <x:v>六、期末现金及现金等价物余额</x:v>
      </x:c>
      <x:c r="F252" s="8" t="n">
        <x:v>323164536.14</x:v>
      </x:c>
      <x:c r="G252" s="8" t="n">
        <x:v>694679366.56</x:v>
      </x:c>
      <x:c r="H252" s="4" t="str">
        <x:v>323,164,536.14</x:v>
      </x:c>
      <x:c r="I252" s="4" t="str">
        <x:v>694,679,366.56</x:v>
      </x:c>
      <x:c r="J252" s="4" t="str">
        <x:v>华夏华润商业REIT_2025中报_20250830.pdf，PDF第40页，现金流量表</x:v>
      </x:c>
    </x:row>
    <x:row r="253" ht="32" customHeight="1">
      <x:c r="A253" s="4" t="str">
        <x:v>华夏华润商业REIT</x:v>
      </x:c>
      <x:c r="B253" s="4" t="str">
        <x:v>2025上半年</x:v>
      </x:c>
      <x:c r="C253" s="4" t="str">
        <x:v>基金个别</x:v>
      </x:c>
      <x:c r="D253" s="4" t="n">
        <x:v>1</x:v>
      </x:c>
      <x:c r="E253" s="4" t="str">
        <x:v>1.收回基础设施投资收到的现金</x:v>
      </x:c>
      <x:c r="F253" s="8" t="n">
        <x:v>0</x:v>
      </x:c>
      <x:c r="G253" s="8" t="n">
        <x:v>0</x:v>
      </x:c>
      <x:c r="H253" s="4" t="str">
        <x:v>-</x:v>
      </x:c>
      <x:c r="I253" s="4" t="str">
        <x:v>-</x:v>
      </x:c>
      <x:c r="J253" s="4" t="str">
        <x:v>华夏华润商业REIT_2025中报_20250830.pdf，PDF第40页，现金流量表</x:v>
      </x:c>
    </x:row>
    <x:row r="254" ht="32" customHeight="1">
      <x:c r="A254" s="4" t="str">
        <x:v>华夏华润商业REIT</x:v>
      </x:c>
      <x:c r="B254" s="4" t="str">
        <x:v>2025上半年</x:v>
      </x:c>
      <x:c r="C254" s="4" t="str">
        <x:v>基金个别</x:v>
      </x:c>
      <x:c r="D254" s="4" t="n">
        <x:v>2</x:v>
      </x:c>
      <x:c r="E254" s="4" t="str">
        <x:v>2.取得基础设施投资收益收到的现金</x:v>
      </x:c>
      <x:c r="F254" s="8" t="n">
        <x:v>183788805.2</x:v>
      </x:c>
      <x:c r="G254" s="8" t="n">
        <x:v>55352691.36</x:v>
      </x:c>
      <x:c r="H254" s="4" t="str">
        <x:v>183,788,805.20</x:v>
      </x:c>
      <x:c r="I254" s="4" t="str">
        <x:v>55,352,691.36</x:v>
      </x:c>
      <x:c r="J254" s="4" t="str">
        <x:v>华夏华润商业REIT_2025中报_20250830.pdf，PDF第40页，现金流量表</x:v>
      </x:c>
    </x:row>
    <x:row r="255" ht="32" customHeight="1">
      <x:c r="A255" s="4" t="str">
        <x:v>华夏华润商业REIT</x:v>
      </x:c>
      <x:c r="B255" s="4" t="str">
        <x:v>2025上半年</x:v>
      </x:c>
      <x:c r="C255" s="4" t="str">
        <x:v>基金个别</x:v>
      </x:c>
      <x:c r="D255" s="4" t="n">
        <x:v>3</x:v>
      </x:c>
      <x:c r="E255" s="4" t="str">
        <x:v>3.处置证券投资收到的现金净额</x:v>
      </x:c>
      <x:c r="F255" s="8" t="n">
        <x:v>0</x:v>
      </x:c>
      <x:c r="G255" s="8" t="n">
        <x:v>0</x:v>
      </x:c>
      <x:c r="H255" s="4" t="str">
        <x:v>-</x:v>
      </x:c>
      <x:c r="I255" s="4" t="str">
        <x:v>-</x:v>
      </x:c>
      <x:c r="J255" s="4" t="str">
        <x:v>华夏华润商业REIT_2025中报_20250830.pdf，PDF第40页，现金流量表</x:v>
      </x:c>
    </x:row>
    <x:row r="256" ht="32" customHeight="1">
      <x:c r="A256" s="4" t="str">
        <x:v>华夏华润商业REIT</x:v>
      </x:c>
      <x:c r="B256" s="4" t="str">
        <x:v>2025上半年</x:v>
      </x:c>
      <x:c r="C256" s="4" t="str">
        <x:v>基金个别</x:v>
      </x:c>
      <x:c r="D256" s="4" t="n">
        <x:v>4</x:v>
      </x:c>
      <x:c r="E256" s="4" t="str">
        <x:v>4.买入返售金融资产净减少额</x:v>
      </x:c>
      <x:c r="F256" s="8" t="n">
        <x:v>0</x:v>
      </x:c>
      <x:c r="G256" s="8" t="n">
        <x:v>0</x:v>
      </x:c>
      <x:c r="H256" s="4" t="str">
        <x:v>-</x:v>
      </x:c>
      <x:c r="I256" s="4" t="str">
        <x:v>-</x:v>
      </x:c>
      <x:c r="J256" s="4" t="str">
        <x:v>华夏华润商业REIT_2025中报_20250830.pdf，PDF第40页，现金流量表</x:v>
      </x:c>
    </x:row>
    <x:row r="257" ht="32" customHeight="1">
      <x:c r="A257" s="4" t="str">
        <x:v>华夏华润商业REIT</x:v>
      </x:c>
      <x:c r="B257" s="4" t="str">
        <x:v>2025上半年</x:v>
      </x:c>
      <x:c r="C257" s="4" t="str">
        <x:v>基金个别</x:v>
      </x:c>
      <x:c r="D257" s="4" t="n">
        <x:v>5</x:v>
      </x:c>
      <x:c r="E257" s="4" t="str">
        <x:v>5.卖出回购金融资产款净增加额</x:v>
      </x:c>
      <x:c r="F257" s="8" t="n">
        <x:v>0</x:v>
      </x:c>
      <x:c r="G257" s="8" t="n">
        <x:v>0</x:v>
      </x:c>
      <x:c r="H257" s="4" t="str">
        <x:v>-</x:v>
      </x:c>
      <x:c r="I257" s="4" t="str">
        <x:v>-</x:v>
      </x:c>
      <x:c r="J257" s="4" t="str">
        <x:v>华夏华润商业REIT_2025中报_20250830.pdf，PDF第40页，现金流量表</x:v>
      </x:c>
    </x:row>
    <x:row r="258" ht="32" customHeight="1">
      <x:c r="A258" s="4" t="str">
        <x:v>华夏华润商业REIT</x:v>
      </x:c>
      <x:c r="B258" s="4" t="str">
        <x:v>2025上半年</x:v>
      </x:c>
      <x:c r="C258" s="4" t="str">
        <x:v>基金个别</x:v>
      </x:c>
      <x:c r="D258" s="4" t="n">
        <x:v>6</x:v>
      </x:c>
      <x:c r="E258" s="4" t="str">
        <x:v>6.取得利息收入收到的现金</x:v>
      </x:c>
      <x:c r="F258" s="8" t="n">
        <x:v>39228.87</x:v>
      </x:c>
      <x:c r="G258" s="8" t="n">
        <x:v>1581550.98</x:v>
      </x:c>
      <x:c r="H258" s="4" t="str">
        <x:v>39,228.87</x:v>
      </x:c>
      <x:c r="I258" s="4" t="str">
        <x:v>1,581,550.98</x:v>
      </x:c>
      <x:c r="J258" s="4" t="str">
        <x:v>华夏华润商业REIT_2025中报_20250830.pdf，PDF第40页，现金流量表</x:v>
      </x:c>
    </x:row>
    <x:row r="259" ht="32" customHeight="1">
      <x:c r="A259" s="4" t="str">
        <x:v>华夏华润商业REIT</x:v>
      </x:c>
      <x:c r="B259" s="4" t="str">
        <x:v>2025上半年</x:v>
      </x:c>
      <x:c r="C259" s="4" t="str">
        <x:v>基金个别</x:v>
      </x:c>
      <x:c r="D259" s="4" t="n">
        <x:v>7</x:v>
      </x:c>
      <x:c r="E259" s="4" t="str">
        <x:v>7.收到其他与经营活动有关的现金</x:v>
      </x:c>
      <x:c r="F259" s="8" t="n">
        <x:v>0</x:v>
      </x:c>
      <x:c r="G259" s="8" t="n">
        <x:v>0</x:v>
      </x:c>
      <x:c r="H259" s="4" t="str">
        <x:v>-</x:v>
      </x:c>
      <x:c r="I259" s="4" t="str">
        <x:v>-</x:v>
      </x:c>
      <x:c r="J259" s="4" t="str">
        <x:v>华夏华润商业REIT_2025中报_20250830.pdf，PDF第40页，现金流量表</x:v>
      </x:c>
    </x:row>
    <x:row r="260" ht="32" customHeight="1">
      <x:c r="A260" s="4" t="str">
        <x:v>华夏华润商业REIT</x:v>
      </x:c>
      <x:c r="B260" s="4" t="str">
        <x:v>2025上半年</x:v>
      </x:c>
      <x:c r="C260" s="4" t="str">
        <x:v>基金个别</x:v>
      </x:c>
      <x:c r="D260" s="4" t="n">
        <x:v>8</x:v>
      </x:c>
      <x:c r="E260" s="4" t="str">
        <x:v>经营活动现金流入小计</x:v>
      </x:c>
      <x:c r="F260" s="8" t="n">
        <x:v>183828034.07</x:v>
      </x:c>
      <x:c r="G260" s="8" t="n">
        <x:v>56934242.34</x:v>
      </x:c>
      <x:c r="H260" s="4" t="str">
        <x:v>183,828,034.07</x:v>
      </x:c>
      <x:c r="I260" s="4" t="str">
        <x:v>56,934,242.34</x:v>
      </x:c>
      <x:c r="J260" s="4" t="str">
        <x:v>华夏华润商业REIT_2025中报_20250830.pdf，PDF第40页，现金流量表</x:v>
      </x:c>
    </x:row>
    <x:row r="261" ht="42" customHeight="1">
      <x:c r="A261" s="4" t="str">
        <x:v>华夏华润商业REIT</x:v>
      </x:c>
      <x:c r="B261" s="4" t="str">
        <x:v>2025上半年</x:v>
      </x:c>
      <x:c r="C261" s="4" t="str">
        <x:v>基金个别</x:v>
      </x:c>
      <x:c r="D261" s="4" t="n">
        <x:v>9</x:v>
      </x:c>
      <x:c r="E261" s="4" t="str">
        <x:v>8.取得基础设施投资支付的现金</x:v>
      </x:c>
      <x:c r="F261" s="8" t="n">
        <x:v>0</x:v>
      </x:c>
      <x:c r="G261" s="8" t="n">
        <x:v>6901800000</x:v>
      </x:c>
      <x:c r="H261" s="4" t="str">
        <x:v>-</x:v>
      </x:c>
      <x:c r="I261" s="4" t="str">
        <x:v>6,901,800,000.00</x:v>
      </x:c>
      <x:c r="J261" s="4" t="str">
        <x:v>华夏华润商业REIT_2025中报_20250830.pdf，PDF第40页，现金流量表</x:v>
      </x:c>
    </x:row>
    <x:row r="262" ht="32" customHeight="1">
      <x:c r="A262" s="4" t="str">
        <x:v>华夏华润商业REIT</x:v>
      </x:c>
      <x:c r="B262" s="4" t="str">
        <x:v>2025上半年</x:v>
      </x:c>
      <x:c r="C262" s="4" t="str">
        <x:v>基金个别</x:v>
      </x:c>
      <x:c r="D262" s="4" t="n">
        <x:v>10</x:v>
      </x:c>
      <x:c r="E262" s="4" t="str">
        <x:v>9.取得证券投资支付的现金净额</x:v>
      </x:c>
      <x:c r="F262" s="8" t="n">
        <x:v>0</x:v>
      </x:c>
      <x:c r="G262" s="8" t="n">
        <x:v>0</x:v>
      </x:c>
      <x:c r="H262" s="4" t="str">
        <x:v>-</x:v>
      </x:c>
      <x:c r="I262" s="4" t="str">
        <x:v>-</x:v>
      </x:c>
      <x:c r="J262" s="4" t="str">
        <x:v>华夏华润商业REIT_2025中报_20250830.pdf，PDF第40页，现金流量表</x:v>
      </x:c>
    </x:row>
    <x:row r="263" ht="32" customHeight="1">
      <x:c r="A263" s="4" t="str">
        <x:v>华夏华润商业REIT</x:v>
      </x:c>
      <x:c r="B263" s="4" t="str">
        <x:v>2025上半年</x:v>
      </x:c>
      <x:c r="C263" s="4" t="str">
        <x:v>基金个别</x:v>
      </x:c>
      <x:c r="D263" s="4" t="n">
        <x:v>11</x:v>
      </x:c>
      <x:c r="E263" s="4" t="str">
        <x:v>10.买入返售金融资产净增加额</x:v>
      </x:c>
      <x:c r="F263" s="8" t="n">
        <x:v>0</x:v>
      </x:c>
      <x:c r="G263" s="8" t="n">
        <x:v>0</x:v>
      </x:c>
      <x:c r="H263" s="4" t="str">
        <x:v>-</x:v>
      </x:c>
      <x:c r="I263" s="4" t="str">
        <x:v>-</x:v>
      </x:c>
      <x:c r="J263" s="4" t="str">
        <x:v>华夏华润商业REIT_2025中报_20250830.pdf，PDF第40页，现金流量表</x:v>
      </x:c>
    </x:row>
    <x:row r="264" ht="32" customHeight="1">
      <x:c r="A264" s="4" t="str">
        <x:v>华夏华润商业REIT</x:v>
      </x:c>
      <x:c r="B264" s="4" t="str">
        <x:v>2025上半年</x:v>
      </x:c>
      <x:c r="C264" s="4" t="str">
        <x:v>基金个别</x:v>
      </x:c>
      <x:c r="D264" s="4" t="n">
        <x:v>12</x:v>
      </x:c>
      <x:c r="E264" s="4" t="str">
        <x:v>11.卖出回购金融资产款净减少额</x:v>
      </x:c>
      <x:c r="F264" s="8" t="n">
        <x:v>0</x:v>
      </x:c>
      <x:c r="G264" s="8" t="n">
        <x:v>0</x:v>
      </x:c>
      <x:c r="H264" s="4" t="str">
        <x:v>-</x:v>
      </x:c>
      <x:c r="I264" s="4" t="str">
        <x:v>-</x:v>
      </x:c>
      <x:c r="J264" s="4" t="str">
        <x:v>华夏华润商业REIT_2025中报_20250830.pdf，PDF第41页，现金流量表</x:v>
      </x:c>
    </x:row>
    <x:row r="265" ht="32" customHeight="1">
      <x:c r="A265" s="4" t="str">
        <x:v>华夏华润商业REIT</x:v>
      </x:c>
      <x:c r="B265" s="4" t="str">
        <x:v>2025上半年</x:v>
      </x:c>
      <x:c r="C265" s="4" t="str">
        <x:v>基金个别</x:v>
      </x:c>
      <x:c r="D265" s="4" t="n">
        <x:v>13</x:v>
      </x:c>
      <x:c r="E265" s="4" t="str">
        <x:v>12.支付的各项税费</x:v>
      </x:c>
      <x:c r="F265" s="8" t="n">
        <x:v>0</x:v>
      </x:c>
      <x:c r="G265" s="8" t="n">
        <x:v>0</x:v>
      </x:c>
      <x:c r="H265" s="4" t="str">
        <x:v>-</x:v>
      </x:c>
      <x:c r="I265" s="4" t="str">
        <x:v>-</x:v>
      </x:c>
      <x:c r="J265" s="4" t="str">
        <x:v>华夏华润商业REIT_2025中报_20250830.pdf，PDF第41页，现金流量表</x:v>
      </x:c>
    </x:row>
    <x:row r="266" ht="32" customHeight="1">
      <x:c r="A266" s="4" t="str">
        <x:v>华夏华润商业REIT</x:v>
      </x:c>
      <x:c r="B266" s="4" t="str">
        <x:v>2025上半年</x:v>
      </x:c>
      <x:c r="C266" s="4" t="str">
        <x:v>基金个别</x:v>
      </x:c>
      <x:c r="D266" s="4" t="n">
        <x:v>14</x:v>
      </x:c>
      <x:c r="E266" s="4" t="str">
        <x:v>13.支付其他与经营活动有关的现金</x:v>
      </x:c>
      <x:c r="F266" s="8" t="n">
        <x:v>160000</x:v>
      </x:c>
      <x:c r="G266" s="8" t="n">
        <x:v>400</x:v>
      </x:c>
      <x:c r="H266" s="4" t="str">
        <x:v>160,000.00</x:v>
      </x:c>
      <x:c r="I266" s="4" t="str">
        <x:v>400.00</x:v>
      </x:c>
      <x:c r="J266" s="4" t="str">
        <x:v>华夏华润商业REIT_2025中报_20250830.pdf，PDF第41页，现金流量表</x:v>
      </x:c>
    </x:row>
    <x:row r="267" ht="42" customHeight="1">
      <x:c r="A267" s="4" t="str">
        <x:v>华夏华润商业REIT</x:v>
      </x:c>
      <x:c r="B267" s="4" t="str">
        <x:v>2025上半年</x:v>
      </x:c>
      <x:c r="C267" s="4" t="str">
        <x:v>基金个别</x:v>
      </x:c>
      <x:c r="D267" s="4" t="n">
        <x:v>15</x:v>
      </x:c>
      <x:c r="E267" s="4" t="str">
        <x:v>经营活动现金流出小计</x:v>
      </x:c>
      <x:c r="F267" s="8" t="n">
        <x:v>160000</x:v>
      </x:c>
      <x:c r="G267" s="8" t="n">
        <x:v>6901800400</x:v>
      </x:c>
      <x:c r="H267" s="4" t="str">
        <x:v>160,000.00</x:v>
      </x:c>
      <x:c r="I267" s="4" t="str">
        <x:v>6,901,800,400.00</x:v>
      </x:c>
      <x:c r="J267" s="4" t="str">
        <x:v>华夏华润商业REIT_2025中报_20250830.pdf，PDF第41页，现金流量表</x:v>
      </x:c>
    </x:row>
    <x:row r="268" ht="42" customHeight="1">
      <x:c r="A268" s="4" t="str">
        <x:v>华夏华润商业REIT</x:v>
      </x:c>
      <x:c r="B268" s="4" t="str">
        <x:v>2025上半年</x:v>
      </x:c>
      <x:c r="C268" s="4" t="str">
        <x:v>基金个别</x:v>
      </x:c>
      <x:c r="D268" s="4" t="n">
        <x:v>16</x:v>
      </x:c>
      <x:c r="E268" s="4" t="str">
        <x:v>经营活动产生的现金流量净额</x:v>
      </x:c>
      <x:c r="F268" s="8" t="n">
        <x:v>183668034.07</x:v>
      </x:c>
      <x:c r="G268" s="8" t="n">
        <x:v>-6844866157.66</x:v>
      </x:c>
      <x:c r="H268" s="4" t="str">
        <x:v>183,668,034.07</x:v>
      </x:c>
      <x:c r="I268" s="4" t="str">
        <x:v>-6,844,866,157.66</x:v>
      </x:c>
      <x:c r="J268" s="4" t="str">
        <x:v>华夏华润商业REIT_2025中报_20250830.pdf，PDF第41页，现金流量表</x:v>
      </x:c>
    </x:row>
    <x:row r="269" ht="32" customHeight="1">
      <x:c r="A269" s="4" t="str">
        <x:v>华夏华润商业REIT</x:v>
      </x:c>
      <x:c r="B269" s="4" t="str">
        <x:v>2025上半年</x:v>
      </x:c>
      <x:c r="C269" s="4" t="str">
        <x:v>基金个别</x:v>
      </x:c>
      <x:c r="D269" s="4" t="n">
        <x:v>17</x:v>
      </x:c>
      <x:c r="E269" s="4" t="str">
        <x:v>14.认购／申购收到的现金</x:v>
      </x:c>
      <x:c r="F269" s="8" t="n">
        <x:v>0</x:v>
      </x:c>
      <x:c r="G269" s="8" t="n">
        <x:v>0</x:v>
      </x:c>
      <x:c r="H269" s="4" t="str">
        <x:v>-</x:v>
      </x:c>
      <x:c r="I269" s="4" t="str">
        <x:v>-</x:v>
      </x:c>
      <x:c r="J269" s="4" t="str">
        <x:v>华夏华润商业REIT_2025中报_20250830.pdf，PDF第41页，现金流量表</x:v>
      </x:c>
    </x:row>
    <x:row r="270" ht="32" customHeight="1">
      <x:c r="A270" s="4" t="str">
        <x:v>华夏华润商业REIT</x:v>
      </x:c>
      <x:c r="B270" s="4" t="str">
        <x:v>2025上半年</x:v>
      </x:c>
      <x:c r="C270" s="4" t="str">
        <x:v>基金个别</x:v>
      </x:c>
      <x:c r="D270" s="4" t="n">
        <x:v>18</x:v>
      </x:c>
      <x:c r="E270" s="4" t="str">
        <x:v>15.收到其他与筹资活动有关的现金</x:v>
      </x:c>
      <x:c r="F270" s="8" t="n">
        <x:v>0</x:v>
      </x:c>
      <x:c r="G270" s="8" t="n">
        <x:v>0</x:v>
      </x:c>
      <x:c r="H270" s="4" t="str">
        <x:v>-</x:v>
      </x:c>
      <x:c r="I270" s="4" t="str">
        <x:v>-</x:v>
      </x:c>
      <x:c r="J270" s="4" t="str">
        <x:v>华夏华润商业REIT_2025中报_20250830.pdf，PDF第41页，现金流量表</x:v>
      </x:c>
    </x:row>
    <x:row r="271" ht="32" customHeight="1">
      <x:c r="A271" s="4" t="str">
        <x:v>华夏华润商业REIT</x:v>
      </x:c>
      <x:c r="B271" s="4" t="str">
        <x:v>2025上半年</x:v>
      </x:c>
      <x:c r="C271" s="4" t="str">
        <x:v>基金个别</x:v>
      </x:c>
      <x:c r="D271" s="4" t="n">
        <x:v>19</x:v>
      </x:c>
      <x:c r="E271" s="4" t="str">
        <x:v>筹资活动现金流入小计</x:v>
      </x:c>
      <x:c r="F271" s="8" t="n">
        <x:v>0</x:v>
      </x:c>
      <x:c r="G271" s="8" t="n">
        <x:v>0</x:v>
      </x:c>
      <x:c r="H271" s="4" t="str">
        <x:v>-</x:v>
      </x:c>
      <x:c r="I271" s="4" t="str">
        <x:v>-</x:v>
      </x:c>
      <x:c r="J271" s="4" t="str">
        <x:v>华夏华润商业REIT_2025中报_20250830.pdf，PDF第41页，现金流量表</x:v>
      </x:c>
    </x:row>
    <x:row r="272" ht="32" customHeight="1">
      <x:c r="A272" s="4" t="str">
        <x:v>华夏华润商业REIT</x:v>
      </x:c>
      <x:c r="B272" s="4" t="str">
        <x:v>2025上半年</x:v>
      </x:c>
      <x:c r="C272" s="4" t="str">
        <x:v>基金个别</x:v>
      </x:c>
      <x:c r="D272" s="4" t="n">
        <x:v>20</x:v>
      </x:c>
      <x:c r="E272" s="4" t="str">
        <x:v>16.赎回支付的现金</x:v>
      </x:c>
      <x:c r="F272" s="8" t="n">
        <x:v>0</x:v>
      </x:c>
      <x:c r="G272" s="8" t="n">
        <x:v>0</x:v>
      </x:c>
      <x:c r="H272" s="4" t="str">
        <x:v>-</x:v>
      </x:c>
      <x:c r="I272" s="4" t="str">
        <x:v>-</x:v>
      </x:c>
      <x:c r="J272" s="4" t="str">
        <x:v>华夏华润商业REIT_2025中报_20250830.pdf，PDF第41页，现金流量表</x:v>
      </x:c>
    </x:row>
    <x:row r="273" ht="32" customHeight="1">
      <x:c r="A273" s="4" t="str">
        <x:v>华夏华润商业REIT</x:v>
      </x:c>
      <x:c r="B273" s="4" t="str">
        <x:v>2025上半年</x:v>
      </x:c>
      <x:c r="C273" s="4" t="str">
        <x:v>基金个别</x:v>
      </x:c>
      <x:c r="D273" s="4" t="n">
        <x:v>21</x:v>
      </x:c>
      <x:c r="E273" s="4" t="str">
        <x:v>17.偿付利息支付的现金</x:v>
      </x:c>
      <x:c r="F273" s="8" t="n">
        <x:v>0</x:v>
      </x:c>
      <x:c r="G273" s="8" t="n">
        <x:v>0</x:v>
      </x:c>
      <x:c r="H273" s="4" t="str">
        <x:v>-</x:v>
      </x:c>
      <x:c r="I273" s="4" t="str">
        <x:v>-</x:v>
      </x:c>
      <x:c r="J273" s="4" t="str">
        <x:v>华夏华润商业REIT_2025中报_20250830.pdf，PDF第41页，现金流量表</x:v>
      </x:c>
    </x:row>
    <x:row r="274" ht="32" customHeight="1">
      <x:c r="A274" s="4" t="str">
        <x:v>华夏华润商业REIT</x:v>
      </x:c>
      <x:c r="B274" s="4" t="str">
        <x:v>2025上半年</x:v>
      </x:c>
      <x:c r="C274" s="4" t="str">
        <x:v>基金个别</x:v>
      </x:c>
      <x:c r="D274" s="4" t="n">
        <x:v>22</x:v>
      </x:c>
      <x:c r="E274" s="4" t="str">
        <x:v>18.分配支付的现金</x:v>
      </x:c>
      <x:c r="F274" s="8" t="n">
        <x:v>176939993.37</x:v>
      </x:c>
      <x:c r="G274" s="8" t="n">
        <x:v>51219997.68</x:v>
      </x:c>
      <x:c r="H274" s="4" t="str">
        <x:v>176,939,993.37</x:v>
      </x:c>
      <x:c r="I274" s="4" t="str">
        <x:v>51,219,997.68</x:v>
      </x:c>
      <x:c r="J274" s="4" t="str">
        <x:v>华夏华润商业REIT_2025中报_20250830.pdf，PDF第41页，现金流量表</x:v>
      </x:c>
    </x:row>
    <x:row r="275" ht="32" customHeight="1">
      <x:c r="A275" s="4" t="str">
        <x:v>华夏华润商业REIT</x:v>
      </x:c>
      <x:c r="B275" s="4" t="str">
        <x:v>2025上半年</x:v>
      </x:c>
      <x:c r="C275" s="4" t="str">
        <x:v>基金个别</x:v>
      </x:c>
      <x:c r="D275" s="4" t="n">
        <x:v>23</x:v>
      </x:c>
      <x:c r="E275" s="4" t="str">
        <x:v>19.支付其他与筹资活动有关的现金</x:v>
      </x:c>
      <x:c r="F275" s="8" t="n">
        <x:v>0</x:v>
      </x:c>
      <x:c r="G275" s="8" t="n">
        <x:v>0</x:v>
      </x:c>
      <x:c r="H275" s="4" t="str">
        <x:v>-</x:v>
      </x:c>
      <x:c r="I275" s="4" t="str">
        <x:v>-</x:v>
      </x:c>
      <x:c r="J275" s="4" t="str">
        <x:v>华夏华润商业REIT_2025中报_20250830.pdf，PDF第41页，现金流量表</x:v>
      </x:c>
    </x:row>
    <x:row r="276" ht="32" customHeight="1">
      <x:c r="A276" s="4" t="str">
        <x:v>华夏华润商业REIT</x:v>
      </x:c>
      <x:c r="B276" s="4" t="str">
        <x:v>2025上半年</x:v>
      </x:c>
      <x:c r="C276" s="4" t="str">
        <x:v>基金个别</x:v>
      </x:c>
      <x:c r="D276" s="4" t="n">
        <x:v>24</x:v>
      </x:c>
      <x:c r="E276" s="4" t="str">
        <x:v>筹资活动现金流出小计</x:v>
      </x:c>
      <x:c r="F276" s="8" t="n">
        <x:v>176939993.37</x:v>
      </x:c>
      <x:c r="G276" s="8" t="n">
        <x:v>51219997.68</x:v>
      </x:c>
      <x:c r="H276" s="4" t="str">
        <x:v>176,939,993.37</x:v>
      </x:c>
      <x:c r="I276" s="4" t="str">
        <x:v>51,219,997.68</x:v>
      </x:c>
      <x:c r="J276" s="4" t="str">
        <x:v>华夏华润商业REIT_2025中报_20250830.pdf，PDF第41页，现金流量表</x:v>
      </x:c>
    </x:row>
    <x:row r="277" ht="42" customHeight="1">
      <x:c r="A277" s="4" t="str">
        <x:v>华夏华润商业REIT</x:v>
      </x:c>
      <x:c r="B277" s="4" t="str">
        <x:v>2025上半年</x:v>
      </x:c>
      <x:c r="C277" s="4" t="str">
        <x:v>基金个别</x:v>
      </x:c>
      <x:c r="D277" s="4" t="n">
        <x:v>25</x:v>
      </x:c>
      <x:c r="E277" s="4" t="str">
        <x:v>筹资活动产生的现金流量净额</x:v>
      </x:c>
      <x:c r="F277" s="8" t="n">
        <x:v>-176939993.37</x:v>
      </x:c>
      <x:c r="G277" s="8" t="n">
        <x:v>-51219997.68</x:v>
      </x:c>
      <x:c r="H277" s="4" t="str">
        <x:v>-176,939,993.37</x:v>
      </x:c>
      <x:c r="I277" s="4" t="str">
        <x:v>-51,219,997.68</x:v>
      </x:c>
      <x:c r="J277" s="4" t="str">
        <x:v>华夏华润商业REIT_2025中报_20250830.pdf，PDF第41页，现金流量表</x:v>
      </x:c>
    </x:row>
    <x:row r="278" ht="32" customHeight="1">
      <x:c r="A278" s="4" t="str">
        <x:v>华夏华润商业REIT</x:v>
      </x:c>
      <x:c r="B278" s="4" t="str">
        <x:v>2025上半年</x:v>
      </x:c>
      <x:c r="C278" s="4" t="str">
        <x:v>基金个别</x:v>
      </x:c>
      <x:c r="D278" s="4" t="n">
        <x:v>26</x:v>
      </x:c>
      <x:c r="E278" s="4" t="str">
        <x:v>三、汇率变动对现金及现金等价物的影响</x:v>
      </x:c>
      <x:c r="F278" s="8" t="n">
        <x:v>0</x:v>
      </x:c>
      <x:c r="G278" s="8" t="n">
        <x:v>0</x:v>
      </x:c>
      <x:c r="H278" s="4" t="str">
        <x:v>-</x:v>
      </x:c>
      <x:c r="I278" s="4" t="str">
        <x:v>-</x:v>
      </x:c>
      <x:c r="J278" s="4" t="str">
        <x:v>华夏华润商业REIT_2025中报_20250830.pdf，PDF第41页，现金流量表</x:v>
      </x:c>
    </x:row>
    <x:row r="279" ht="42" customHeight="1">
      <x:c r="A279" s="4" t="str">
        <x:v>华夏华润商业REIT</x:v>
      </x:c>
      <x:c r="B279" s="4" t="str">
        <x:v>2025上半年</x:v>
      </x:c>
      <x:c r="C279" s="4" t="str">
        <x:v>基金个别</x:v>
      </x:c>
      <x:c r="D279" s="4" t="n">
        <x:v>27</x:v>
      </x:c>
      <x:c r="E279" s="4" t="str">
        <x:v>四、现金及现金等价物净增加额</x:v>
      </x:c>
      <x:c r="F279" s="8" t="n">
        <x:v>6728040.7</x:v>
      </x:c>
      <x:c r="G279" s="8" t="n">
        <x:v>-6896086155.34</x:v>
      </x:c>
      <x:c r="H279" s="4" t="str">
        <x:v>6,728,040.70</x:v>
      </x:c>
      <x:c r="I279" s="4" t="str">
        <x:v>-6,896,086,155.34</x:v>
      </x:c>
      <x:c r="J279" s="4" t="str">
        <x:v>华夏华润商业REIT_2025中报_20250830.pdf，PDF第41页，现金流量表</x:v>
      </x:c>
    </x:row>
    <x:row r="280" ht="42" customHeight="1">
      <x:c r="A280" s="4" t="str">
        <x:v>华夏华润商业REIT</x:v>
      </x:c>
      <x:c r="B280" s="4" t="str">
        <x:v>2025上半年</x:v>
      </x:c>
      <x:c r="C280" s="4" t="str">
        <x:v>基金个别</x:v>
      </x:c>
      <x:c r="D280" s="4" t="n">
        <x:v>28</x:v>
      </x:c>
      <x:c r="E280" s="4" t="str">
        <x:v>加：期初现金及现金等价物余额</x:v>
      </x:c>
      <x:c r="F280" s="8" t="n">
        <x:v>8568710.41</x:v>
      </x:c>
      <x:c r="G280" s="8" t="n">
        <x:v>6902000000.35</x:v>
      </x:c>
      <x:c r="H280" s="4" t="str">
        <x:v>8,568,710.41</x:v>
      </x:c>
      <x:c r="I280" s="4" t="str">
        <x:v>6,902,000,000.35</x:v>
      </x:c>
      <x:c r="J280" s="4" t="str">
        <x:v>华夏华润商业REIT_2025中报_20250830.pdf，PDF第41页，现金流量表</x:v>
      </x:c>
    </x:row>
    <x:row r="281" ht="32" customHeight="1">
      <x:c r="A281" s="4" t="str">
        <x:v>华夏华润商业REIT</x:v>
      </x:c>
      <x:c r="B281" s="4" t="str">
        <x:v>2025上半年</x:v>
      </x:c>
      <x:c r="C281" s="4" t="str">
        <x:v>基金个别</x:v>
      </x:c>
      <x:c r="D281" s="4" t="n">
        <x:v>29</x:v>
      </x:c>
      <x:c r="E281" s="4" t="str">
        <x:v>五、期末现金及现金等价物余额</x:v>
      </x:c>
      <x:c r="F281" s="8" t="n">
        <x:v>15296751.11</x:v>
      </x:c>
      <x:c r="G281" s="8" t="n">
        <x:v>5913845.01</x:v>
      </x:c>
      <x:c r="H281" s="4" t="str">
        <x:v>15,296,751.11</x:v>
      </x:c>
      <x:c r="I281" s="4" t="str">
        <x:v>5,913,845.01</x:v>
      </x:c>
      <x:c r="J281" s="4" t="str">
        <x:v>华夏华润商业REIT_2025中报_20250830.pdf，PDF第41页，现金流量表</x:v>
      </x:c>
    </x:row>
    <x:row r="282" ht="32" customHeight="1">
      <x:c r="A282" s="4" t="str">
        <x:v>华夏合肥高新REIT</x:v>
      </x:c>
      <x:c r="B282" s="4" t="str">
        <x:v>2024年度</x:v>
      </x:c>
      <x:c r="C282" s="4" t="str">
        <x:v>合并</x:v>
      </x:c>
      <x:c r="D282" s="4" t="n">
        <x:v>1</x:v>
      </x:c>
      <x:c r="E282" s="4" t="str">
        <x:v>1.销售商品、提供劳务收到的现金</x:v>
      </x:c>
      <x:c r="F282" s="8" t="n">
        <x:v>90206435.24</x:v>
      </x:c>
      <x:c r="G282" s="8" t="n">
        <x:v>109480806.71</x:v>
      </x:c>
      <x:c r="H282" s="4" t="str">
        <x:v>90,206,435.24</x:v>
      </x:c>
      <x:c r="I282" s="4" t="str">
        <x:v>109,480,806.71</x:v>
      </x:c>
      <x:c r="J282" s="4" t="str">
        <x:v>华夏合肥高新REIT_2024年报_20250331.pdf，PDF第43页，现金流量表</x:v>
      </x:c>
    </x:row>
    <x:row r="283" ht="32" customHeight="1">
      <x:c r="A283" s="4" t="str">
        <x:v>华夏合肥高新REIT</x:v>
      </x:c>
      <x:c r="B283" s="4" t="str">
        <x:v>2024年度</x:v>
      </x:c>
      <x:c r="C283" s="4" t="str">
        <x:v>合并</x:v>
      </x:c>
      <x:c r="D283" s="4" t="n">
        <x:v>2</x:v>
      </x:c>
      <x:c r="E283" s="4" t="str">
        <x:v>2.处置证券投资收到的现金净额</x:v>
      </x:c>
      <x:c r="F283" s="8" t="n">
        <x:v>0</x:v>
      </x:c>
      <x:c r="G283" s="8" t="n">
        <x:v>0</x:v>
      </x:c>
      <x:c r="H283" s="4" t="str">
        <x:v>-</x:v>
      </x:c>
      <x:c r="I283" s="4" t="str">
        <x:v>-</x:v>
      </x:c>
      <x:c r="J283" s="4" t="str">
        <x:v>华夏合肥高新REIT_2024年报_20250331.pdf，PDF第43页，现金流量表</x:v>
      </x:c>
    </x:row>
    <x:row r="284" ht="32" customHeight="1">
      <x:c r="A284" s="4" t="str">
        <x:v>华夏合肥高新REIT</x:v>
      </x:c>
      <x:c r="B284" s="4" t="str">
        <x:v>2024年度</x:v>
      </x:c>
      <x:c r="C284" s="4" t="str">
        <x:v>合并</x:v>
      </x:c>
      <x:c r="D284" s="4" t="n">
        <x:v>3</x:v>
      </x:c>
      <x:c r="E284" s="4" t="str">
        <x:v>3.买入返售金融资产净减少额</x:v>
      </x:c>
      <x:c r="F284" s="8" t="n">
        <x:v>0</x:v>
      </x:c>
      <x:c r="G284" s="8" t="n">
        <x:v>0</x:v>
      </x:c>
      <x:c r="H284" s="4" t="str">
        <x:v>-</x:v>
      </x:c>
      <x:c r="I284" s="4" t="str">
        <x:v>-</x:v>
      </x:c>
      <x:c r="J284" s="4" t="str">
        <x:v>华夏合肥高新REIT_2024年报_20250331.pdf，PDF第43页，现金流量表</x:v>
      </x:c>
    </x:row>
    <x:row r="285" ht="32" customHeight="1">
      <x:c r="A285" s="4" t="str">
        <x:v>华夏合肥高新REIT</x:v>
      </x:c>
      <x:c r="B285" s="4" t="str">
        <x:v>2024年度</x:v>
      </x:c>
      <x:c r="C285" s="4" t="str">
        <x:v>合并</x:v>
      </x:c>
      <x:c r="D285" s="4" t="n">
        <x:v>4</x:v>
      </x:c>
      <x:c r="E285" s="4" t="str">
        <x:v>4.卖出回购金融资产款净增加额</x:v>
      </x:c>
      <x:c r="F285" s="8" t="n">
        <x:v>0</x:v>
      </x:c>
      <x:c r="G285" s="8" t="n">
        <x:v>0</x:v>
      </x:c>
      <x:c r="H285" s="4" t="str">
        <x:v>-</x:v>
      </x:c>
      <x:c r="I285" s="4" t="str">
        <x:v>-</x:v>
      </x:c>
      <x:c r="J285" s="4" t="str">
        <x:v>华夏合肥高新REIT_2024年报_20250331.pdf，PDF第43页，现金流量表</x:v>
      </x:c>
    </x:row>
    <x:row r="286" ht="32" customHeight="1">
      <x:c r="A286" s="4" t="str">
        <x:v>华夏合肥高新REIT</x:v>
      </x:c>
      <x:c r="B286" s="4" t="str">
        <x:v>2024年度</x:v>
      </x:c>
      <x:c r="C286" s="4" t="str">
        <x:v>合并</x:v>
      </x:c>
      <x:c r="D286" s="4" t="n">
        <x:v>5</x:v>
      </x:c>
      <x:c r="E286" s="4" t="str">
        <x:v>5.取得利息收入收到的现金</x:v>
      </x:c>
      <x:c r="F286" s="8" t="n">
        <x:v>191882.03</x:v>
      </x:c>
      <x:c r="G286" s="8" t="n">
        <x:v>538175.48</x:v>
      </x:c>
      <x:c r="H286" s="4" t="str">
        <x:v>191,882.03</x:v>
      </x:c>
      <x:c r="I286" s="4" t="str">
        <x:v>538,175.48</x:v>
      </x:c>
      <x:c r="J286" s="4" t="str">
        <x:v>华夏合肥高新REIT_2024年报_20250331.pdf，PDF第43页，现金流量表</x:v>
      </x:c>
    </x:row>
    <x:row r="287" ht="32" customHeight="1">
      <x:c r="A287" s="4" t="str">
        <x:v>华夏合肥高新REIT</x:v>
      </x:c>
      <x:c r="B287" s="4" t="str">
        <x:v>2024年度</x:v>
      </x:c>
      <x:c r="C287" s="4" t="str">
        <x:v>合并</x:v>
      </x:c>
      <x:c r="D287" s="4" t="n">
        <x:v>6</x:v>
      </x:c>
      <x:c r="E287" s="4" t="str">
        <x:v>6.收到的税费返还</x:v>
      </x:c>
      <x:c r="F287" s="8" t="n">
        <x:v>0</x:v>
      </x:c>
      <x:c r="G287" s="8" t="n">
        <x:v>1463734.01</x:v>
      </x:c>
      <x:c r="H287" s="4" t="str">
        <x:v>-</x:v>
      </x:c>
      <x:c r="I287" s="4" t="str">
        <x:v>1,463,734.01</x:v>
      </x:c>
      <x:c r="J287" s="4" t="str">
        <x:v>华夏合肥高新REIT_2024年报_20250331.pdf，PDF第43页，现金流量表</x:v>
      </x:c>
    </x:row>
    <x:row r="288" ht="32" customHeight="1">
      <x:c r="A288" s="4" t="str">
        <x:v>华夏合肥高新REIT</x:v>
      </x:c>
      <x:c r="B288" s="4" t="str">
        <x:v>2024年度</x:v>
      </x:c>
      <x:c r="C288" s="4" t="str">
        <x:v>合并</x:v>
      </x:c>
      <x:c r="D288" s="4" t="n">
        <x:v>7</x:v>
      </x:c>
      <x:c r="E288" s="4" t="str">
        <x:v>7.收到其他与经营活动有关的现金</x:v>
      </x:c>
      <x:c r="F288" s="8" t="n">
        <x:v>19168553.27</x:v>
      </x:c>
      <x:c r="G288" s="8" t="n">
        <x:v>23774017.25</x:v>
      </x:c>
      <x:c r="H288" s="4" t="str">
        <x:v>19,168,553.27</x:v>
      </x:c>
      <x:c r="I288" s="4" t="str">
        <x:v>23,774,017.25</x:v>
      </x:c>
      <x:c r="J288" s="4" t="str">
        <x:v>华夏合肥高新REIT_2024年报_20250331.pdf，PDF第43页，现金流量表</x:v>
      </x:c>
    </x:row>
    <x:row r="289" ht="32" customHeight="1">
      <x:c r="A289" s="4" t="str">
        <x:v>华夏合肥高新REIT</x:v>
      </x:c>
      <x:c r="B289" s="4" t="str">
        <x:v>2024年度</x:v>
      </x:c>
      <x:c r="C289" s="4" t="str">
        <x:v>合并</x:v>
      </x:c>
      <x:c r="D289" s="4" t="n">
        <x:v>8</x:v>
      </x:c>
      <x:c r="E289" s="4" t="str">
        <x:v>经营活动现金流入小计</x:v>
      </x:c>
      <x:c r="F289" s="8" t="n">
        <x:v>109566870.54</x:v>
      </x:c>
      <x:c r="G289" s="8" t="n">
        <x:v>135256733.45</x:v>
      </x:c>
      <x:c r="H289" s="4" t="str">
        <x:v>109,566,870.54</x:v>
      </x:c>
      <x:c r="I289" s="4" t="str">
        <x:v>135,256,733.45</x:v>
      </x:c>
      <x:c r="J289" s="4" t="str">
        <x:v>华夏合肥高新REIT_2024年报_20250331.pdf，PDF第43页，现金流量表</x:v>
      </x:c>
    </x:row>
    <x:row r="290" ht="32" customHeight="1">
      <x:c r="A290" s="4" t="str">
        <x:v>华夏合肥高新REIT</x:v>
      </x:c>
      <x:c r="B290" s="4" t="str">
        <x:v>2024年度</x:v>
      </x:c>
      <x:c r="C290" s="4" t="str">
        <x:v>合并</x:v>
      </x:c>
      <x:c r="D290" s="4" t="n">
        <x:v>9</x:v>
      </x:c>
      <x:c r="E290" s="4" t="str">
        <x:v>8.购买商品、接受劳务支付的现金</x:v>
      </x:c>
      <x:c r="F290" s="8" t="n">
        <x:v>15401654.31</x:v>
      </x:c>
      <x:c r="G290" s="8" t="n">
        <x:v>4525649.87</x:v>
      </x:c>
      <x:c r="H290" s="4" t="str">
        <x:v>15,401,654.31</x:v>
      </x:c>
      <x:c r="I290" s="4" t="str">
        <x:v>4,525,649.87</x:v>
      </x:c>
      <x:c r="J290" s="4" t="str">
        <x:v>华夏合肥高新REIT_2024年报_20250331.pdf，PDF第43页，现金流量表</x:v>
      </x:c>
    </x:row>
    <x:row r="291" ht="32" customHeight="1">
      <x:c r="A291" s="4" t="str">
        <x:v>华夏合肥高新REIT</x:v>
      </x:c>
      <x:c r="B291" s="4" t="str">
        <x:v>2024年度</x:v>
      </x:c>
      <x:c r="C291" s="4" t="str">
        <x:v>合并</x:v>
      </x:c>
      <x:c r="D291" s="4" t="n">
        <x:v>10</x:v>
      </x:c>
      <x:c r="E291" s="4" t="str">
        <x:v>9.取得证券投资支付的现金净额</x:v>
      </x:c>
      <x:c r="F291" s="8" t="n">
        <x:v>0</x:v>
      </x:c>
      <x:c r="G291" s="8" t="n">
        <x:v>0</x:v>
      </x:c>
      <x:c r="H291" s="4" t="str">
        <x:v>-</x:v>
      </x:c>
      <x:c r="I291" s="4" t="str">
        <x:v>-</x:v>
      </x:c>
      <x:c r="J291" s="4" t="str">
        <x:v>华夏合肥高新REIT_2024年报_20250331.pdf，PDF第44页，现金流量表</x:v>
      </x:c>
    </x:row>
    <x:row r="292" ht="32" customHeight="1">
      <x:c r="A292" s="4" t="str">
        <x:v>华夏合肥高新REIT</x:v>
      </x:c>
      <x:c r="B292" s="4" t="str">
        <x:v>2024年度</x:v>
      </x:c>
      <x:c r="C292" s="4" t="str">
        <x:v>合并</x:v>
      </x:c>
      <x:c r="D292" s="4" t="n">
        <x:v>11</x:v>
      </x:c>
      <x:c r="E292" s="4" t="str">
        <x:v>10.买入返售金融资产净增加额</x:v>
      </x:c>
      <x:c r="F292" s="8" t="n">
        <x:v>0</x:v>
      </x:c>
      <x:c r="G292" s="8" t="n">
        <x:v>0</x:v>
      </x:c>
      <x:c r="H292" s="4" t="str">
        <x:v>-</x:v>
      </x:c>
      <x:c r="I292" s="4" t="str">
        <x:v>-</x:v>
      </x:c>
      <x:c r="J292" s="4" t="str">
        <x:v>华夏合肥高新REIT_2024年报_20250331.pdf，PDF第44页，现金流量表</x:v>
      </x:c>
    </x:row>
    <x:row r="293" ht="32" customHeight="1">
      <x:c r="A293" s="4" t="str">
        <x:v>华夏合肥高新REIT</x:v>
      </x:c>
      <x:c r="B293" s="4" t="str">
        <x:v>2024年度</x:v>
      </x:c>
      <x:c r="C293" s="4" t="str">
        <x:v>合并</x:v>
      </x:c>
      <x:c r="D293" s="4" t="n">
        <x:v>12</x:v>
      </x:c>
      <x:c r="E293" s="4" t="str">
        <x:v>11.卖出回购金融资产款净减少额</x:v>
      </x:c>
      <x:c r="F293" s="8" t="n">
        <x:v>0</x:v>
      </x:c>
      <x:c r="G293" s="8" t="n">
        <x:v>0</x:v>
      </x:c>
      <x:c r="H293" s="4" t="str">
        <x:v>-</x:v>
      </x:c>
      <x:c r="I293" s="4" t="str">
        <x:v>-</x:v>
      </x:c>
      <x:c r="J293" s="4" t="str">
        <x:v>华夏合肥高新REIT_2024年报_20250331.pdf，PDF第44页，现金流量表</x:v>
      </x:c>
    </x:row>
    <x:row r="294" ht="32" customHeight="1">
      <x:c r="A294" s="4" t="str">
        <x:v>华夏合肥高新REIT</x:v>
      </x:c>
      <x:c r="B294" s="4" t="str">
        <x:v>2024年度</x:v>
      </x:c>
      <x:c r="C294" s="4" t="str">
        <x:v>合并</x:v>
      </x:c>
      <x:c r="D294" s="4" t="n">
        <x:v>13</x:v>
      </x:c>
      <x:c r="E294" s="4" t="str">
        <x:v>12.支付给职工以及为职工支付的现金</x:v>
      </x:c>
      <x:c r="F294" s="8" t="n">
        <x:v>580051.86</x:v>
      </x:c>
      <x:c r="G294" s="8" t="n">
        <x:v>535879.4</x:v>
      </x:c>
      <x:c r="H294" s="4" t="str">
        <x:v>580,051.86</x:v>
      </x:c>
      <x:c r="I294" s="4" t="str">
        <x:v>535,879.40</x:v>
      </x:c>
      <x:c r="J294" s="4" t="str">
        <x:v>华夏合肥高新REIT_2024年报_20250331.pdf，PDF第44页，现金流量表</x:v>
      </x:c>
    </x:row>
    <x:row r="295" ht="32" customHeight="1">
      <x:c r="A295" s="4" t="str">
        <x:v>华夏合肥高新REIT</x:v>
      </x:c>
      <x:c r="B295" s="4" t="str">
        <x:v>2024年度</x:v>
      </x:c>
      <x:c r="C295" s="4" t="str">
        <x:v>合并</x:v>
      </x:c>
      <x:c r="D295" s="4" t="n">
        <x:v>14</x:v>
      </x:c>
      <x:c r="E295" s="4" t="str">
        <x:v>13.支付的各项税费</x:v>
      </x:c>
      <x:c r="F295" s="8" t="n">
        <x:v>21611814.7</x:v>
      </x:c>
      <x:c r="G295" s="8" t="n">
        <x:v>19178938.28</x:v>
      </x:c>
      <x:c r="H295" s="4" t="str">
        <x:v>21,611,814.70</x:v>
      </x:c>
      <x:c r="I295" s="4" t="str">
        <x:v>19,178,938.28</x:v>
      </x:c>
      <x:c r="J295" s="4" t="str">
        <x:v>华夏合肥高新REIT_2024年报_20250331.pdf，PDF第44页，现金流量表</x:v>
      </x:c>
    </x:row>
    <x:row r="296" ht="32" customHeight="1">
      <x:c r="A296" s="4" t="str">
        <x:v>华夏合肥高新REIT</x:v>
      </x:c>
      <x:c r="B296" s="4" t="str">
        <x:v>2024年度</x:v>
      </x:c>
      <x:c r="C296" s="4" t="str">
        <x:v>合并</x:v>
      </x:c>
      <x:c r="D296" s="4" t="n">
        <x:v>15</x:v>
      </x:c>
      <x:c r="E296" s="4" t="str">
        <x:v>14.支付其他与经营活动有关的现金</x:v>
      </x:c>
      <x:c r="F296" s="8" t="n">
        <x:v>18645492.22</x:v>
      </x:c>
      <x:c r="G296" s="8" t="n">
        <x:v>16677651.17</x:v>
      </x:c>
      <x:c r="H296" s="4" t="str">
        <x:v>18,645,492.22</x:v>
      </x:c>
      <x:c r="I296" s="4" t="str">
        <x:v>16,677,651.17</x:v>
      </x:c>
      <x:c r="J296" s="4" t="str">
        <x:v>华夏合肥高新REIT_2024年报_20250331.pdf，PDF第44页，现金流量表</x:v>
      </x:c>
    </x:row>
    <x:row r="297" ht="32" customHeight="1">
      <x:c r="A297" s="4" t="str">
        <x:v>华夏合肥高新REIT</x:v>
      </x:c>
      <x:c r="B297" s="4" t="str">
        <x:v>2024年度</x:v>
      </x:c>
      <x:c r="C297" s="4" t="str">
        <x:v>合并</x:v>
      </x:c>
      <x:c r="D297" s="4" t="n">
        <x:v>16</x:v>
      </x:c>
      <x:c r="E297" s="4" t="str">
        <x:v>经营活动现金流出小计</x:v>
      </x:c>
      <x:c r="F297" s="8" t="n">
        <x:v>56239013.09</x:v>
      </x:c>
      <x:c r="G297" s="8" t="n">
        <x:v>40918118.72</x:v>
      </x:c>
      <x:c r="H297" s="4" t="str">
        <x:v>56,239,013.09</x:v>
      </x:c>
      <x:c r="I297" s="4" t="str">
        <x:v>40,918,118.72</x:v>
      </x:c>
      <x:c r="J297" s="4" t="str">
        <x:v>华夏合肥高新REIT_2024年报_20250331.pdf，PDF第44页，现金流量表</x:v>
      </x:c>
    </x:row>
    <x:row r="298" ht="32" customHeight="1">
      <x:c r="A298" s="4" t="str">
        <x:v>华夏合肥高新REIT</x:v>
      </x:c>
      <x:c r="B298" s="4" t="str">
        <x:v>2024年度</x:v>
      </x:c>
      <x:c r="C298" s="4" t="str">
        <x:v>合并</x:v>
      </x:c>
      <x:c r="D298" s="4" t="n">
        <x:v>17</x:v>
      </x:c>
      <x:c r="E298" s="4" t="str">
        <x:v>经营活动产生的现金流量净额</x:v>
      </x:c>
      <x:c r="F298" s="8" t="n">
        <x:v>53327857.45</x:v>
      </x:c>
      <x:c r="G298" s="8" t="n">
        <x:v>94338614.73</x:v>
      </x:c>
      <x:c r="H298" s="4" t="str">
        <x:v>53,327,857.45</x:v>
      </x:c>
      <x:c r="I298" s="4" t="str">
        <x:v>94,338,614.73</x:v>
      </x:c>
      <x:c r="J298" s="4" t="str">
        <x:v>华夏合肥高新REIT_2024年报_20250331.pdf，PDF第44页，现金流量表</x:v>
      </x:c>
    </x:row>
    <x:row r="299" ht="32" customHeight="1">
      <x:c r="A299" s="4" t="str">
        <x:v>华夏合肥高新REIT</x:v>
      </x:c>
      <x:c r="B299" s="4" t="str">
        <x:v>2024年度</x:v>
      </x:c>
      <x:c r="C299" s="4" t="str">
        <x:v>合并</x:v>
      </x:c>
      <x:c r="D299" s="4" t="n">
        <x:v>18</x:v>
      </x:c>
      <x:c r="E299" s="4" t="str">
        <x:v>15.处置固定资产、无形资产和其他长期资产收到的现金净额</x:v>
      </x:c>
      <x:c r="F299" s="8" t="n">
        <x:v>0</x:v>
      </x:c>
      <x:c r="G299" s="8" t="n">
        <x:v>0</x:v>
      </x:c>
      <x:c r="H299" s="4" t="str">
        <x:v>-</x:v>
      </x:c>
      <x:c r="I299" s="4" t="str">
        <x:v>-</x:v>
      </x:c>
      <x:c r="J299" s="4" t="str">
        <x:v>华夏合肥高新REIT_2024年报_20250331.pdf，PDF第44页，现金流量表</x:v>
      </x:c>
    </x:row>
    <x:row r="300" ht="32" customHeight="1">
      <x:c r="A300" s="4" t="str">
        <x:v>华夏合肥高新REIT</x:v>
      </x:c>
      <x:c r="B300" s="4" t="str">
        <x:v>2024年度</x:v>
      </x:c>
      <x:c r="C300" s="4" t="str">
        <x:v>合并</x:v>
      </x:c>
      <x:c r="D300" s="4" t="n">
        <x:v>19</x:v>
      </x:c>
      <x:c r="E300" s="4" t="str">
        <x:v>16.处置子公司及其他营业单位收到的现金净额</x:v>
      </x:c>
      <x:c r="F300" s="8" t="n">
        <x:v>0</x:v>
      </x:c>
      <x:c r="G300" s="8" t="n">
        <x:v>0</x:v>
      </x:c>
      <x:c r="H300" s="4" t="str">
        <x:v>-</x:v>
      </x:c>
      <x:c r="I300" s="4" t="str">
        <x:v>-</x:v>
      </x:c>
      <x:c r="J300" s="4" t="str">
        <x:v>华夏合肥高新REIT_2024年报_20250331.pdf，PDF第44页，现金流量表</x:v>
      </x:c>
    </x:row>
    <x:row r="301" ht="32" customHeight="1">
      <x:c r="A301" s="4" t="str">
        <x:v>华夏合肥高新REIT</x:v>
      </x:c>
      <x:c r="B301" s="4" t="str">
        <x:v>2024年度</x:v>
      </x:c>
      <x:c r="C301" s="4" t="str">
        <x:v>合并</x:v>
      </x:c>
      <x:c r="D301" s="4" t="n">
        <x:v>20</x:v>
      </x:c>
      <x:c r="E301" s="4" t="str">
        <x:v>17.收到其他与投资活动有关的现金</x:v>
      </x:c>
      <x:c r="F301" s="8" t="n">
        <x:v>28500000</x:v>
      </x:c>
      <x:c r="G301" s="8" t="n">
        <x:v>5000000</x:v>
      </x:c>
      <x:c r="H301" s="4" t="str">
        <x:v>28,500,000.00</x:v>
      </x:c>
      <x:c r="I301" s="4" t="str">
        <x:v>5,000,000.00</x:v>
      </x:c>
      <x:c r="J301" s="4" t="str">
        <x:v>华夏合肥高新REIT_2024年报_20250331.pdf，PDF第44页，现金流量表</x:v>
      </x:c>
    </x:row>
    <x:row r="302" ht="32" customHeight="1">
      <x:c r="A302" s="4" t="str">
        <x:v>华夏合肥高新REIT</x:v>
      </x:c>
      <x:c r="B302" s="4" t="str">
        <x:v>2024年度</x:v>
      </x:c>
      <x:c r="C302" s="4" t="str">
        <x:v>合并</x:v>
      </x:c>
      <x:c r="D302" s="4" t="n">
        <x:v>21</x:v>
      </x:c>
      <x:c r="E302" s="4" t="str">
        <x:v>投资活动现金流入小计</x:v>
      </x:c>
      <x:c r="F302" s="8" t="n">
        <x:v>28500000</x:v>
      </x:c>
      <x:c r="G302" s="8" t="n">
        <x:v>5000000</x:v>
      </x:c>
      <x:c r="H302" s="4" t="str">
        <x:v>28,500,000.00</x:v>
      </x:c>
      <x:c r="I302" s="4" t="str">
        <x:v>5,000,000.00</x:v>
      </x:c>
      <x:c r="J302" s="4" t="str">
        <x:v>华夏合肥高新REIT_2024年报_20250331.pdf，PDF第44页，现金流量表</x:v>
      </x:c>
    </x:row>
    <x:row r="303" ht="32" customHeight="1">
      <x:c r="A303" s="4" t="str">
        <x:v>华夏合肥高新REIT</x:v>
      </x:c>
      <x:c r="B303" s="4" t="str">
        <x:v>2024年度</x:v>
      </x:c>
      <x:c r="C303" s="4" t="str">
        <x:v>合并</x:v>
      </x:c>
      <x:c r="D303" s="4" t="n">
        <x:v>22</x:v>
      </x:c>
      <x:c r="E303" s="4" t="str">
        <x:v>18.购建固定资产、无形资产和其他长期资产支付的现金</x:v>
      </x:c>
      <x:c r="F303" s="8" t="n">
        <x:v>0</x:v>
      </x:c>
      <x:c r="G303" s="8" t="n">
        <x:v>59800</x:v>
      </x:c>
      <x:c r="H303" s="4" t="str">
        <x:v>-</x:v>
      </x:c>
      <x:c r="I303" s="4" t="str">
        <x:v>59,800.00</x:v>
      </x:c>
      <x:c r="J303" s="4" t="str">
        <x:v>华夏合肥高新REIT_2024年报_20250331.pdf，PDF第44页，现金流量表</x:v>
      </x:c>
    </x:row>
    <x:row r="304" ht="32" customHeight="1">
      <x:c r="A304" s="4" t="str">
        <x:v>华夏合肥高新REIT</x:v>
      </x:c>
      <x:c r="B304" s="4" t="str">
        <x:v>2024年度</x:v>
      </x:c>
      <x:c r="C304" s="4" t="str">
        <x:v>合并</x:v>
      </x:c>
      <x:c r="D304" s="4" t="n">
        <x:v>23</x:v>
      </x:c>
      <x:c r="E304" s="4" t="str">
        <x:v>19.取得子公司及其他营业单位支付的现金净额</x:v>
      </x:c>
      <x:c r="F304" s="8" t="n">
        <x:v>0</x:v>
      </x:c>
      <x:c r="G304" s="8" t="n">
        <x:v>0</x:v>
      </x:c>
      <x:c r="H304" s="4" t="str">
        <x:v>-</x:v>
      </x:c>
      <x:c r="I304" s="4" t="str">
        <x:v>-</x:v>
      </x:c>
      <x:c r="J304" s="4" t="str">
        <x:v>华夏合肥高新REIT_2024年报_20250331.pdf，PDF第44页，现金流量表</x:v>
      </x:c>
    </x:row>
    <x:row r="305" ht="32" customHeight="1">
      <x:c r="A305" s="4" t="str">
        <x:v>华夏合肥高新REIT</x:v>
      </x:c>
      <x:c r="B305" s="4" t="str">
        <x:v>2024年度</x:v>
      </x:c>
      <x:c r="C305" s="4" t="str">
        <x:v>合并</x:v>
      </x:c>
      <x:c r="D305" s="4" t="n">
        <x:v>24</x:v>
      </x:c>
      <x:c r="E305" s="4" t="str">
        <x:v>20.支付其他与投资活动有关的现金</x:v>
      </x:c>
      <x:c r="F305" s="8" t="n">
        <x:v>0</x:v>
      </x:c>
      <x:c r="G305" s="8" t="n">
        <x:v>50000000</x:v>
      </x:c>
      <x:c r="H305" s="4" t="str">
        <x:v>-</x:v>
      </x:c>
      <x:c r="I305" s="4" t="str">
        <x:v>50,000,000.00</x:v>
      </x:c>
      <x:c r="J305" s="4" t="str">
        <x:v>华夏合肥高新REIT_2024年报_20250331.pdf，PDF第44页，现金流量表</x:v>
      </x:c>
    </x:row>
    <x:row r="306" ht="32" customHeight="1">
      <x:c r="A306" s="4" t="str">
        <x:v>华夏合肥高新REIT</x:v>
      </x:c>
      <x:c r="B306" s="4" t="str">
        <x:v>2024年度</x:v>
      </x:c>
      <x:c r="C306" s="4" t="str">
        <x:v>合并</x:v>
      </x:c>
      <x:c r="D306" s="4" t="n">
        <x:v>25</x:v>
      </x:c>
      <x:c r="E306" s="4" t="str">
        <x:v>投资活动现金流出小计</x:v>
      </x:c>
      <x:c r="F306" s="8" t="n">
        <x:v>0</x:v>
      </x:c>
      <x:c r="G306" s="8" t="n">
        <x:v>50059800</x:v>
      </x:c>
      <x:c r="H306" s="4" t="str">
        <x:v>-</x:v>
      </x:c>
      <x:c r="I306" s="4" t="str">
        <x:v>50,059,800.00</x:v>
      </x:c>
      <x:c r="J306" s="4" t="str">
        <x:v>华夏合肥高新REIT_2024年报_20250331.pdf，PDF第44页，现金流量表</x:v>
      </x:c>
    </x:row>
    <x:row r="307" ht="32" customHeight="1">
      <x:c r="A307" s="4" t="str">
        <x:v>华夏合肥高新REIT</x:v>
      </x:c>
      <x:c r="B307" s="4" t="str">
        <x:v>2024年度</x:v>
      </x:c>
      <x:c r="C307" s="4" t="str">
        <x:v>合并</x:v>
      </x:c>
      <x:c r="D307" s="4" t="n">
        <x:v>26</x:v>
      </x:c>
      <x:c r="E307" s="4" t="str">
        <x:v>投资活动产生的现金流量净额</x:v>
      </x:c>
      <x:c r="F307" s="8" t="n">
        <x:v>28500000</x:v>
      </x:c>
      <x:c r="G307" s="8" t="n">
        <x:v>-45059800</x:v>
      </x:c>
      <x:c r="H307" s="4" t="str">
        <x:v>28,500,000.00</x:v>
      </x:c>
      <x:c r="I307" s="4" t="str">
        <x:v>-45,059,800.00</x:v>
      </x:c>
      <x:c r="J307" s="4" t="str">
        <x:v>华夏合肥高新REIT_2024年报_20250331.pdf，PDF第44页，现金流量表</x:v>
      </x:c>
    </x:row>
    <x:row r="308" ht="32" customHeight="1">
      <x:c r="A308" s="4" t="str">
        <x:v>华夏合肥高新REIT</x:v>
      </x:c>
      <x:c r="B308" s="4" t="str">
        <x:v>2024年度</x:v>
      </x:c>
      <x:c r="C308" s="4" t="str">
        <x:v>合并</x:v>
      </x:c>
      <x:c r="D308" s="4" t="n">
        <x:v>27</x:v>
      </x:c>
      <x:c r="E308" s="4" t="str">
        <x:v>21.认购/申购收到的现金</x:v>
      </x:c>
      <x:c r="F308" s="8" t="n">
        <x:v>0</x:v>
      </x:c>
      <x:c r="G308" s="8" t="n">
        <x:v>0</x:v>
      </x:c>
      <x:c r="H308" s="4" t="str">
        <x:v>-</x:v>
      </x:c>
      <x:c r="I308" s="4" t="str">
        <x:v>-</x:v>
      </x:c>
      <x:c r="J308" s="4" t="str">
        <x:v>华夏合肥高新REIT_2024年报_20250331.pdf，PDF第44页，现金流量表</x:v>
      </x:c>
    </x:row>
    <x:row r="309" ht="32" customHeight="1">
      <x:c r="A309" s="4" t="str">
        <x:v>华夏合肥高新REIT</x:v>
      </x:c>
      <x:c r="B309" s="4" t="str">
        <x:v>2024年度</x:v>
      </x:c>
      <x:c r="C309" s="4" t="str">
        <x:v>合并</x:v>
      </x:c>
      <x:c r="D309" s="4" t="n">
        <x:v>28</x:v>
      </x:c>
      <x:c r="E309" s="4" t="str">
        <x:v>22.取得借款收到的现金</x:v>
      </x:c>
      <x:c r="F309" s="8" t="n">
        <x:v>0</x:v>
      </x:c>
      <x:c r="G309" s="8" t="n">
        <x:v>0</x:v>
      </x:c>
      <x:c r="H309" s="4" t="str">
        <x:v>-</x:v>
      </x:c>
      <x:c r="I309" s="4" t="str">
        <x:v>-</x:v>
      </x:c>
      <x:c r="J309" s="4" t="str">
        <x:v>华夏合肥高新REIT_2024年报_20250331.pdf，PDF第44页，现金流量表</x:v>
      </x:c>
    </x:row>
    <x:row r="310" ht="32" customHeight="1">
      <x:c r="A310" s="4" t="str">
        <x:v>华夏合肥高新REIT</x:v>
      </x:c>
      <x:c r="B310" s="4" t="str">
        <x:v>2024年度</x:v>
      </x:c>
      <x:c r="C310" s="4" t="str">
        <x:v>合并</x:v>
      </x:c>
      <x:c r="D310" s="4" t="n">
        <x:v>29</x:v>
      </x:c>
      <x:c r="E310" s="4" t="str">
        <x:v>23.收到其他与筹资活动有关的现金</x:v>
      </x:c>
      <x:c r="F310" s="8" t="n">
        <x:v>0</x:v>
      </x:c>
      <x:c r="G310" s="8" t="n">
        <x:v>0</x:v>
      </x:c>
      <x:c r="H310" s="4" t="str">
        <x:v>-</x:v>
      </x:c>
      <x:c r="I310" s="4" t="str">
        <x:v>-</x:v>
      </x:c>
      <x:c r="J310" s="4" t="str">
        <x:v>华夏合肥高新REIT_2024年报_20250331.pdf，PDF第44页，现金流量表</x:v>
      </x:c>
    </x:row>
    <x:row r="311" ht="32" customHeight="1">
      <x:c r="A311" s="4" t="str">
        <x:v>华夏合肥高新REIT</x:v>
      </x:c>
      <x:c r="B311" s="4" t="str">
        <x:v>2024年度</x:v>
      </x:c>
      <x:c r="C311" s="4" t="str">
        <x:v>合并</x:v>
      </x:c>
      <x:c r="D311" s="4" t="n">
        <x:v>30</x:v>
      </x:c>
      <x:c r="E311" s="4" t="str">
        <x:v>筹资活动现金流入小计</x:v>
      </x:c>
      <x:c r="F311" s="8" t="n">
        <x:v>0</x:v>
      </x:c>
      <x:c r="G311" s="8" t="n">
        <x:v>0</x:v>
      </x:c>
      <x:c r="H311" s="4" t="str">
        <x:v>-</x:v>
      </x:c>
      <x:c r="I311" s="4" t="str">
        <x:v>-</x:v>
      </x:c>
      <x:c r="J311" s="4" t="str">
        <x:v>华夏合肥高新REIT_2024年报_20250331.pdf，PDF第44页，现金流量表</x:v>
      </x:c>
    </x:row>
    <x:row r="312" ht="32" customHeight="1">
      <x:c r="A312" s="4" t="str">
        <x:v>华夏合肥高新REIT</x:v>
      </x:c>
      <x:c r="B312" s="4" t="str">
        <x:v>2024年度</x:v>
      </x:c>
      <x:c r="C312" s="4" t="str">
        <x:v>合并</x:v>
      </x:c>
      <x:c r="D312" s="4" t="n">
        <x:v>31</x:v>
      </x:c>
      <x:c r="E312" s="4" t="str">
        <x:v>24.赎回支付的现金</x:v>
      </x:c>
      <x:c r="F312" s="8" t="n">
        <x:v>0</x:v>
      </x:c>
      <x:c r="G312" s="8" t="n">
        <x:v>0</x:v>
      </x:c>
      <x:c r="H312" s="4" t="str">
        <x:v>-</x:v>
      </x:c>
      <x:c r="I312" s="4" t="str">
        <x:v>-</x:v>
      </x:c>
      <x:c r="J312" s="4" t="str">
        <x:v>华夏合肥高新REIT_2024年报_20250331.pdf，PDF第44页，现金流量表</x:v>
      </x:c>
    </x:row>
    <x:row r="313" ht="32" customHeight="1">
      <x:c r="A313" s="4" t="str">
        <x:v>华夏合肥高新REIT</x:v>
      </x:c>
      <x:c r="B313" s="4" t="str">
        <x:v>2024年度</x:v>
      </x:c>
      <x:c r="C313" s="4" t="str">
        <x:v>合并</x:v>
      </x:c>
      <x:c r="D313" s="4" t="n">
        <x:v>32</x:v>
      </x:c>
      <x:c r="E313" s="4" t="str">
        <x:v>25.偿还借款支付的现金</x:v>
      </x:c>
      <x:c r="F313" s="8" t="n">
        <x:v>0</x:v>
      </x:c>
      <x:c r="G313" s="8" t="n">
        <x:v>0</x:v>
      </x:c>
      <x:c r="H313" s="4" t="str">
        <x:v>-</x:v>
      </x:c>
      <x:c r="I313" s="4" t="str">
        <x:v>-</x:v>
      </x:c>
      <x:c r="J313" s="4" t="str">
        <x:v>华夏合肥高新REIT_2024年报_20250331.pdf，PDF第44页，现金流量表</x:v>
      </x:c>
    </x:row>
    <x:row r="314" ht="32" customHeight="1">
      <x:c r="A314" s="4" t="str">
        <x:v>华夏合肥高新REIT</x:v>
      </x:c>
      <x:c r="B314" s="4" t="str">
        <x:v>2024年度</x:v>
      </x:c>
      <x:c r="C314" s="4" t="str">
        <x:v>合并</x:v>
      </x:c>
      <x:c r="D314" s="4" t="n">
        <x:v>33</x:v>
      </x:c>
      <x:c r="E314" s="4" t="str">
        <x:v>26.偿付利息支付的现金</x:v>
      </x:c>
      <x:c r="F314" s="8" t="n">
        <x:v>0</x:v>
      </x:c>
      <x:c r="G314" s="8" t="n">
        <x:v>0</x:v>
      </x:c>
      <x:c r="H314" s="4" t="str">
        <x:v>-</x:v>
      </x:c>
      <x:c r="I314" s="4" t="str">
        <x:v>-</x:v>
      </x:c>
      <x:c r="J314" s="4" t="str">
        <x:v>华夏合肥高新REIT_2024年报_20250331.pdf，PDF第44页，现金流量表</x:v>
      </x:c>
    </x:row>
    <x:row r="315" ht="32" customHeight="1">
      <x:c r="A315" s="4" t="str">
        <x:v>华夏合肥高新REIT</x:v>
      </x:c>
      <x:c r="B315" s="4" t="str">
        <x:v>2024年度</x:v>
      </x:c>
      <x:c r="C315" s="4" t="str">
        <x:v>合并</x:v>
      </x:c>
      <x:c r="D315" s="4" t="n">
        <x:v>34</x:v>
      </x:c>
      <x:c r="E315" s="4" t="str">
        <x:v>27.分配支付的现金</x:v>
      </x:c>
      <x:c r="F315" s="8" t="n">
        <x:v>95171545.28</x:v>
      </x:c>
      <x:c r="G315" s="8" t="n">
        <x:v>58148739.02</x:v>
      </x:c>
      <x:c r="H315" s="4" t="str">
        <x:v>95,171,545.28</x:v>
      </x:c>
      <x:c r="I315" s="4" t="str">
        <x:v>58,148,739.02</x:v>
      </x:c>
      <x:c r="J315" s="4" t="str">
        <x:v>华夏合肥高新REIT_2024年报_20250331.pdf，PDF第44页，现金流量表</x:v>
      </x:c>
    </x:row>
    <x:row r="316" ht="32" customHeight="1">
      <x:c r="A316" s="4" t="str">
        <x:v>华夏合肥高新REIT</x:v>
      </x:c>
      <x:c r="B316" s="4" t="str">
        <x:v>2024年度</x:v>
      </x:c>
      <x:c r="C316" s="4" t="str">
        <x:v>合并</x:v>
      </x:c>
      <x:c r="D316" s="4" t="n">
        <x:v>35</x:v>
      </x:c>
      <x:c r="E316" s="4" t="str">
        <x:v>28.支付其他与筹资活动有关的现金</x:v>
      </x:c>
      <x:c r="F316" s="8" t="n">
        <x:v>0</x:v>
      </x:c>
      <x:c r="G316" s="8" t="n">
        <x:v>0</x:v>
      </x:c>
      <x:c r="H316" s="4" t="str">
        <x:v>-</x:v>
      </x:c>
      <x:c r="I316" s="4" t="str">
        <x:v>-</x:v>
      </x:c>
      <x:c r="J316" s="4" t="str">
        <x:v>华夏合肥高新REIT_2024年报_20250331.pdf，PDF第44页，现金流量表</x:v>
      </x:c>
    </x:row>
    <x:row r="317" ht="32" customHeight="1">
      <x:c r="A317" s="4" t="str">
        <x:v>华夏合肥高新REIT</x:v>
      </x:c>
      <x:c r="B317" s="4" t="str">
        <x:v>2024年度</x:v>
      </x:c>
      <x:c r="C317" s="4" t="str">
        <x:v>合并</x:v>
      </x:c>
      <x:c r="D317" s="4" t="n">
        <x:v>36</x:v>
      </x:c>
      <x:c r="E317" s="4" t="str">
        <x:v>筹资活动现金流出小计</x:v>
      </x:c>
      <x:c r="F317" s="8" t="n">
        <x:v>95171545.28</x:v>
      </x:c>
      <x:c r="G317" s="8" t="n">
        <x:v>58148739.02</x:v>
      </x:c>
      <x:c r="H317" s="4" t="str">
        <x:v>95,171,545.28</x:v>
      </x:c>
      <x:c r="I317" s="4" t="str">
        <x:v>58,148,739.02</x:v>
      </x:c>
      <x:c r="J317" s="4" t="str">
        <x:v>华夏合肥高新REIT_2024年报_20250331.pdf，PDF第44页，现金流量表</x:v>
      </x:c>
    </x:row>
    <x:row r="318" ht="32" customHeight="1">
      <x:c r="A318" s="4" t="str">
        <x:v>华夏合肥高新REIT</x:v>
      </x:c>
      <x:c r="B318" s="4" t="str">
        <x:v>2024年度</x:v>
      </x:c>
      <x:c r="C318" s="4" t="str">
        <x:v>合并</x:v>
      </x:c>
      <x:c r="D318" s="4" t="n">
        <x:v>37</x:v>
      </x:c>
      <x:c r="E318" s="4" t="str">
        <x:v>筹资活动产生的现金流量净额</x:v>
      </x:c>
      <x:c r="F318" s="8" t="n">
        <x:v>-95171545.28</x:v>
      </x:c>
      <x:c r="G318" s="8" t="n">
        <x:v>-58148739.02</x:v>
      </x:c>
      <x:c r="H318" s="4" t="str">
        <x:v>-95,171,545.28</x:v>
      </x:c>
      <x:c r="I318" s="4" t="str">
        <x:v>-58,148,739.02</x:v>
      </x:c>
      <x:c r="J318" s="4" t="str">
        <x:v>华夏合肥高新REIT_2024年报_20250331.pdf，PDF第44页，现金流量表</x:v>
      </x:c>
    </x:row>
    <x:row r="319" ht="32" customHeight="1">
      <x:c r="A319" s="4" t="str">
        <x:v>华夏合肥高新REIT</x:v>
      </x:c>
      <x:c r="B319" s="4" t="str">
        <x:v>2024年度</x:v>
      </x:c>
      <x:c r="C319" s="4" t="str">
        <x:v>合并</x:v>
      </x:c>
      <x:c r="D319" s="4" t="n">
        <x:v>38</x:v>
      </x:c>
      <x:c r="E319" s="4" t="str">
        <x:v>四、汇率变动对现金及现金等价物的影响</x:v>
      </x:c>
      <x:c r="F319" s="8" t="n">
        <x:v>0</x:v>
      </x:c>
      <x:c r="G319" s="8" t="n">
        <x:v>0</x:v>
      </x:c>
      <x:c r="H319" s="4" t="str">
        <x:v>-</x:v>
      </x:c>
      <x:c r="I319" s="4" t="str">
        <x:v>-</x:v>
      </x:c>
      <x:c r="J319" s="4" t="str">
        <x:v>华夏合肥高新REIT_2024年报_20250331.pdf，PDF第44页，现金流量表</x:v>
      </x:c>
    </x:row>
    <x:row r="320" ht="32" customHeight="1">
      <x:c r="A320" s="4" t="str">
        <x:v>华夏合肥高新REIT</x:v>
      </x:c>
      <x:c r="B320" s="4" t="str">
        <x:v>2024年度</x:v>
      </x:c>
      <x:c r="C320" s="4" t="str">
        <x:v>合并</x:v>
      </x:c>
      <x:c r="D320" s="4" t="n">
        <x:v>39</x:v>
      </x:c>
      <x:c r="E320" s="4" t="str">
        <x:v>五、现金及现金等价物净增加额</x:v>
      </x:c>
      <x:c r="F320" s="8" t="n">
        <x:v>-13343687.83</x:v>
      </x:c>
      <x:c r="G320" s="8" t="n">
        <x:v>-8869924.29</x:v>
      </x:c>
      <x:c r="H320" s="4" t="str">
        <x:v>-13,343,687.83</x:v>
      </x:c>
      <x:c r="I320" s="4" t="str">
        <x:v>-8,869,924.29</x:v>
      </x:c>
      <x:c r="J320" s="4" t="str">
        <x:v>华夏合肥高新REIT_2024年报_20250331.pdf，PDF第44页，现金流量表</x:v>
      </x:c>
    </x:row>
    <x:row r="321" ht="32" customHeight="1">
      <x:c r="A321" s="4" t="str">
        <x:v>华夏合肥高新REIT</x:v>
      </x:c>
      <x:c r="B321" s="4" t="str">
        <x:v>2024年度</x:v>
      </x:c>
      <x:c r="C321" s="4" t="str">
        <x:v>合并</x:v>
      </x:c>
      <x:c r="D321" s="4" t="n">
        <x:v>40</x:v>
      </x:c>
      <x:c r="E321" s="4" t="str">
        <x:v>加：期初现金及现金等价物余额</x:v>
      </x:c>
      <x:c r="F321" s="8" t="n">
        <x:v>55322724.14</x:v>
      </x:c>
      <x:c r="G321" s="8" t="n">
        <x:v>64192648.43</x:v>
      </x:c>
      <x:c r="H321" s="4" t="str">
        <x:v>55,322,724.14</x:v>
      </x:c>
      <x:c r="I321" s="4" t="str">
        <x:v>64,192,648.43</x:v>
      </x:c>
      <x:c r="J321" s="4" t="str">
        <x:v>华夏合肥高新REIT_2024年报_20250331.pdf，PDF第44页，现金流量表</x:v>
      </x:c>
    </x:row>
    <x:row r="322" ht="32" customHeight="1">
      <x:c r="A322" s="4" t="str">
        <x:v>华夏合肥高新REIT</x:v>
      </x:c>
      <x:c r="B322" s="4" t="str">
        <x:v>2024年度</x:v>
      </x:c>
      <x:c r="C322" s="4" t="str">
        <x:v>合并</x:v>
      </x:c>
      <x:c r="D322" s="4" t="n">
        <x:v>41</x:v>
      </x:c>
      <x:c r="E322" s="4" t="str">
        <x:v>六、期末现金及现金等价物余额</x:v>
      </x:c>
      <x:c r="F322" s="8" t="n">
        <x:v>41979036.31</x:v>
      </x:c>
      <x:c r="G322" s="8" t="n">
        <x:v>55322724.14</x:v>
      </x:c>
      <x:c r="H322" s="4" t="str">
        <x:v>41,979,036.31</x:v>
      </x:c>
      <x:c r="I322" s="4" t="str">
        <x:v>55,322,724.14</x:v>
      </x:c>
      <x:c r="J322" s="4" t="str">
        <x:v>华夏合肥高新REIT_2024年报_20250331.pdf，PDF第44页，现金流量表</x:v>
      </x:c>
    </x:row>
    <x:row r="323" ht="32" customHeight="1">
      <x:c r="A323" s="4" t="str">
        <x:v>华夏合肥高新REIT</x:v>
      </x:c>
      <x:c r="B323" s="4" t="str">
        <x:v>2024年度</x:v>
      </x:c>
      <x:c r="C323" s="4" t="str">
        <x:v>基金个别</x:v>
      </x:c>
      <x:c r="D323" s="4" t="n">
        <x:v>1</x:v>
      </x:c>
      <x:c r="E323" s="4" t="str">
        <x:v>1.收回基础设施投资收到的现金</x:v>
      </x:c>
      <x:c r="F323" s="8" t="n">
        <x:v>0</x:v>
      </x:c>
      <x:c r="G323" s="8" t="n">
        <x:v>0</x:v>
      </x:c>
      <x:c r="H323" s="4" t="str">
        <x:v>-</x:v>
      </x:c>
      <x:c r="I323" s="4" t="str">
        <x:v>-</x:v>
      </x:c>
      <x:c r="J323" s="4" t="str">
        <x:v>华夏合肥高新REIT_2024年报_20250331.pdf，PDF第45页，现金流量表</x:v>
      </x:c>
    </x:row>
    <x:row r="324" ht="32" customHeight="1">
      <x:c r="A324" s="4" t="str">
        <x:v>华夏合肥高新REIT</x:v>
      </x:c>
      <x:c r="B324" s="4" t="str">
        <x:v>2024年度</x:v>
      </x:c>
      <x:c r="C324" s="4" t="str">
        <x:v>基金个别</x:v>
      </x:c>
      <x:c r="D324" s="4" t="n">
        <x:v>2</x:v>
      </x:c>
      <x:c r="E324" s="4" t="str">
        <x:v>2.取得基础设施投资收益收到的现金</x:v>
      </x:c>
      <x:c r="F324" s="8" t="n">
        <x:v>100149999.59</x:v>
      </x:c>
      <x:c r="G324" s="8" t="n">
        <x:v>53250911.83</x:v>
      </x:c>
      <x:c r="H324" s="4" t="str">
        <x:v>100,149,999.59</x:v>
      </x:c>
      <x:c r="I324" s="4" t="str">
        <x:v>53,250,911.83</x:v>
      </x:c>
      <x:c r="J324" s="4" t="str">
        <x:v>华夏合肥高新REIT_2024年报_20250331.pdf，PDF第45页，现金流量表</x:v>
      </x:c>
    </x:row>
    <x:row r="325" ht="32" customHeight="1">
      <x:c r="A325" s="4" t="str">
        <x:v>华夏合肥高新REIT</x:v>
      </x:c>
      <x:c r="B325" s="4" t="str">
        <x:v>2024年度</x:v>
      </x:c>
      <x:c r="C325" s="4" t="str">
        <x:v>基金个别</x:v>
      </x:c>
      <x:c r="D325" s="4" t="n">
        <x:v>3</x:v>
      </x:c>
      <x:c r="E325" s="4" t="str">
        <x:v>3.处置证券投资收到的现金净额</x:v>
      </x:c>
      <x:c r="F325" s="8" t="n">
        <x:v>0</x:v>
      </x:c>
      <x:c r="G325" s="8" t="n">
        <x:v>0</x:v>
      </x:c>
      <x:c r="H325" s="4" t="str">
        <x:v>-</x:v>
      </x:c>
      <x:c r="I325" s="4" t="str">
        <x:v>-</x:v>
      </x:c>
      <x:c r="J325" s="4" t="str">
        <x:v>华夏合肥高新REIT_2024年报_20250331.pdf，PDF第45页，现金流量表</x:v>
      </x:c>
    </x:row>
    <x:row r="326" ht="32" customHeight="1">
      <x:c r="A326" s="4" t="str">
        <x:v>华夏合肥高新REIT</x:v>
      </x:c>
      <x:c r="B326" s="4" t="str">
        <x:v>2024年度</x:v>
      </x:c>
      <x:c r="C326" s="4" t="str">
        <x:v>基金个别</x:v>
      </x:c>
      <x:c r="D326" s="4" t="n">
        <x:v>4</x:v>
      </x:c>
      <x:c r="E326" s="4" t="str">
        <x:v>4.买入返售金融资产净减少额</x:v>
      </x:c>
      <x:c r="F326" s="8" t="n">
        <x:v>0</x:v>
      </x:c>
      <x:c r="G326" s="8" t="n">
        <x:v>0</x:v>
      </x:c>
      <x:c r="H326" s="4" t="str">
        <x:v>-</x:v>
      </x:c>
      <x:c r="I326" s="4" t="str">
        <x:v>-</x:v>
      </x:c>
      <x:c r="J326" s="4" t="str">
        <x:v>华夏合肥高新REIT_2024年报_20250331.pdf，PDF第45页，现金流量表</x:v>
      </x:c>
    </x:row>
    <x:row r="327" ht="32" customHeight="1">
      <x:c r="A327" s="4" t="str">
        <x:v>华夏合肥高新REIT</x:v>
      </x:c>
      <x:c r="B327" s="4" t="str">
        <x:v>2024年度</x:v>
      </x:c>
      <x:c r="C327" s="4" t="str">
        <x:v>基金个别</x:v>
      </x:c>
      <x:c r="D327" s="4" t="n">
        <x:v>5</x:v>
      </x:c>
      <x:c r="E327" s="4" t="str">
        <x:v>5.卖出回购金融资产款净增加额</x:v>
      </x:c>
      <x:c r="F327" s="8" t="n">
        <x:v>0</x:v>
      </x:c>
      <x:c r="G327" s="8" t="n">
        <x:v>0</x:v>
      </x:c>
      <x:c r="H327" s="4" t="str">
        <x:v>-</x:v>
      </x:c>
      <x:c r="I327" s="4" t="str">
        <x:v>-</x:v>
      </x:c>
      <x:c r="J327" s="4" t="str">
        <x:v>华夏合肥高新REIT_2024年报_20250331.pdf，PDF第45页，现金流量表</x:v>
      </x:c>
    </x:row>
    <x:row r="328" ht="32" customHeight="1">
      <x:c r="A328" s="4" t="str">
        <x:v>华夏合肥高新REIT</x:v>
      </x:c>
      <x:c r="B328" s="4" t="str">
        <x:v>2024年度</x:v>
      </x:c>
      <x:c r="C328" s="4" t="str">
        <x:v>基金个别</x:v>
      </x:c>
      <x:c r="D328" s="4" t="n">
        <x:v>6</x:v>
      </x:c>
      <x:c r="E328" s="4" t="str">
        <x:v>6.取得利息收入收到的现金</x:v>
      </x:c>
      <x:c r="F328" s="8" t="n">
        <x:v>23700.28</x:v>
      </x:c>
      <x:c r="G328" s="8" t="n">
        <x:v>36537.54</x:v>
      </x:c>
      <x:c r="H328" s="4" t="str">
        <x:v>23,700.28</x:v>
      </x:c>
      <x:c r="I328" s="4" t="str">
        <x:v>36,537.54</x:v>
      </x:c>
      <x:c r="J328" s="4" t="str">
        <x:v>华夏合肥高新REIT_2024年报_20250331.pdf，PDF第45页，现金流量表</x:v>
      </x:c>
    </x:row>
    <x:row r="329" ht="32" customHeight="1">
      <x:c r="A329" s="4" t="str">
        <x:v>华夏合肥高新REIT</x:v>
      </x:c>
      <x:c r="B329" s="4" t="str">
        <x:v>2024年度</x:v>
      </x:c>
      <x:c r="C329" s="4" t="str">
        <x:v>基金个别</x:v>
      </x:c>
      <x:c r="D329" s="4" t="n">
        <x:v>7</x:v>
      </x:c>
      <x:c r="E329" s="4" t="str">
        <x:v>7.收到其他与经营活动有关的现金</x:v>
      </x:c>
      <x:c r="F329" s="8" t="n">
        <x:v>0</x:v>
      </x:c>
      <x:c r="G329" s="8" t="n">
        <x:v>0</x:v>
      </x:c>
      <x:c r="H329" s="4" t="str">
        <x:v>-</x:v>
      </x:c>
      <x:c r="I329" s="4" t="str">
        <x:v>-</x:v>
      </x:c>
      <x:c r="J329" s="4" t="str">
        <x:v>华夏合肥高新REIT_2024年报_20250331.pdf，PDF第45页，现金流量表</x:v>
      </x:c>
    </x:row>
    <x:row r="330" ht="32" customHeight="1">
      <x:c r="A330" s="4" t="str">
        <x:v>华夏合肥高新REIT</x:v>
      </x:c>
      <x:c r="B330" s="4" t="str">
        <x:v>2024年度</x:v>
      </x:c>
      <x:c r="C330" s="4" t="str">
        <x:v>基金个别</x:v>
      </x:c>
      <x:c r="D330" s="4" t="n">
        <x:v>8</x:v>
      </x:c>
      <x:c r="E330" s="4" t="str">
        <x:v>经营活动现金流入小计</x:v>
      </x:c>
      <x:c r="F330" s="8" t="n">
        <x:v>100173699.87</x:v>
      </x:c>
      <x:c r="G330" s="8" t="n">
        <x:v>53287449.37</x:v>
      </x:c>
      <x:c r="H330" s="4" t="str">
        <x:v>100,173,699.87</x:v>
      </x:c>
      <x:c r="I330" s="4" t="str">
        <x:v>53,287,449.37</x:v>
      </x:c>
      <x:c r="J330" s="4" t="str">
        <x:v>华夏合肥高新REIT_2024年报_20250331.pdf，PDF第45页，现金流量表</x:v>
      </x:c>
    </x:row>
    <x:row r="331" ht="32" customHeight="1">
      <x:c r="A331" s="4" t="str">
        <x:v>华夏合肥高新REIT</x:v>
      </x:c>
      <x:c r="B331" s="4" t="str">
        <x:v>2024年度</x:v>
      </x:c>
      <x:c r="C331" s="4" t="str">
        <x:v>基金个别</x:v>
      </x:c>
      <x:c r="D331" s="4" t="n">
        <x:v>9</x:v>
      </x:c>
      <x:c r="E331" s="4" t="str">
        <x:v>8.取得基础设施投资支付的现金</x:v>
      </x:c>
      <x:c r="F331" s="8" t="n">
        <x:v>0</x:v>
      </x:c>
      <x:c r="G331" s="8" t="n">
        <x:v>0</x:v>
      </x:c>
      <x:c r="H331" s="4" t="str">
        <x:v>-</x:v>
      </x:c>
      <x:c r="I331" s="4" t="str">
        <x:v>-</x:v>
      </x:c>
      <x:c r="J331" s="4" t="str">
        <x:v>华夏合肥高新REIT_2024年报_20250331.pdf，PDF第45页，现金流量表</x:v>
      </x:c>
    </x:row>
    <x:row r="332" ht="32" customHeight="1">
      <x:c r="A332" s="4" t="str">
        <x:v>华夏合肥高新REIT</x:v>
      </x:c>
      <x:c r="B332" s="4" t="str">
        <x:v>2024年度</x:v>
      </x:c>
      <x:c r="C332" s="4" t="str">
        <x:v>基金个别</x:v>
      </x:c>
      <x:c r="D332" s="4" t="n">
        <x:v>10</x:v>
      </x:c>
      <x:c r="E332" s="4" t="str">
        <x:v>9.取得证券投资支付的现金净额</x:v>
      </x:c>
      <x:c r="F332" s="8" t="n">
        <x:v>0</x:v>
      </x:c>
      <x:c r="G332" s="8" t="n">
        <x:v>0</x:v>
      </x:c>
      <x:c r="H332" s="4" t="str">
        <x:v>-</x:v>
      </x:c>
      <x:c r="I332" s="4" t="str">
        <x:v>-</x:v>
      </x:c>
      <x:c r="J332" s="4" t="str">
        <x:v>华夏合肥高新REIT_2024年报_20250331.pdf，PDF第45页，现金流量表</x:v>
      </x:c>
    </x:row>
    <x:row r="333" ht="32" customHeight="1">
      <x:c r="A333" s="4" t="str">
        <x:v>华夏合肥高新REIT</x:v>
      </x:c>
      <x:c r="B333" s="4" t="str">
        <x:v>2024年度</x:v>
      </x:c>
      <x:c r="C333" s="4" t="str">
        <x:v>基金个别</x:v>
      </x:c>
      <x:c r="D333" s="4" t="n">
        <x:v>11</x:v>
      </x:c>
      <x:c r="E333" s="4" t="str">
        <x:v>10.买入返售金融资产净增加额</x:v>
      </x:c>
      <x:c r="F333" s="8" t="n">
        <x:v>0</x:v>
      </x:c>
      <x:c r="G333" s="8" t="n">
        <x:v>0</x:v>
      </x:c>
      <x:c r="H333" s="4" t="str">
        <x:v>-</x:v>
      </x:c>
      <x:c r="I333" s="4" t="str">
        <x:v>-</x:v>
      </x:c>
      <x:c r="J333" s="4" t="str">
        <x:v>华夏合肥高新REIT_2024年报_20250331.pdf，PDF第45页，现金流量表</x:v>
      </x:c>
    </x:row>
    <x:row r="334" ht="32" customHeight="1">
      <x:c r="A334" s="4" t="str">
        <x:v>华夏合肥高新REIT</x:v>
      </x:c>
      <x:c r="B334" s="4" t="str">
        <x:v>2024年度</x:v>
      </x:c>
      <x:c r="C334" s="4" t="str">
        <x:v>基金个别</x:v>
      </x:c>
      <x:c r="D334" s="4" t="n">
        <x:v>12</x:v>
      </x:c>
      <x:c r="E334" s="4" t="str">
        <x:v>11.卖出回购金融资产款净减少额</x:v>
      </x:c>
      <x:c r="F334" s="8" t="n">
        <x:v>0</x:v>
      </x:c>
      <x:c r="G334" s="8" t="n">
        <x:v>0</x:v>
      </x:c>
      <x:c r="H334" s="4" t="str">
        <x:v>-</x:v>
      </x:c>
      <x:c r="I334" s="4" t="str">
        <x:v>-</x:v>
      </x:c>
      <x:c r="J334" s="4" t="str">
        <x:v>华夏合肥高新REIT_2024年报_20250331.pdf，PDF第45页，现金流量表</x:v>
      </x:c>
    </x:row>
    <x:row r="335" ht="32" customHeight="1">
      <x:c r="A335" s="4" t="str">
        <x:v>华夏合肥高新REIT</x:v>
      </x:c>
      <x:c r="B335" s="4" t="str">
        <x:v>2024年度</x:v>
      </x:c>
      <x:c r="C335" s="4" t="str">
        <x:v>基金个别</x:v>
      </x:c>
      <x:c r="D335" s="4" t="n">
        <x:v>13</x:v>
      </x:c>
      <x:c r="E335" s="4" t="str">
        <x:v>12.支付的各项税费</x:v>
      </x:c>
      <x:c r="F335" s="8" t="n">
        <x:v>0</x:v>
      </x:c>
      <x:c r="G335" s="8" t="n">
        <x:v>0</x:v>
      </x:c>
      <x:c r="H335" s="4" t="str">
        <x:v>-</x:v>
      </x:c>
      <x:c r="I335" s="4" t="str">
        <x:v>-</x:v>
      </x:c>
      <x:c r="J335" s="4" t="str">
        <x:v>华夏合肥高新REIT_2024年报_20250331.pdf，PDF第45页，现金流量表</x:v>
      </x:c>
    </x:row>
    <x:row r="336" ht="32" customHeight="1">
      <x:c r="A336" s="4" t="str">
        <x:v>华夏合肥高新REIT</x:v>
      </x:c>
      <x:c r="B336" s="4" t="str">
        <x:v>2024年度</x:v>
      </x:c>
      <x:c r="C336" s="4" t="str">
        <x:v>基金个别</x:v>
      </x:c>
      <x:c r="D336" s="4" t="n">
        <x:v>14</x:v>
      </x:c>
      <x:c r="E336" s="4" t="str">
        <x:v>13.支付其他与经营活动有关的现金</x:v>
      </x:c>
      <x:c r="F336" s="8" t="n">
        <x:v>4030018.01</x:v>
      </x:c>
      <x:c r="G336" s="8" t="n">
        <x:v>1151612</x:v>
      </x:c>
      <x:c r="H336" s="4" t="str">
        <x:v>4,030,018.01</x:v>
      </x:c>
      <x:c r="I336" s="4" t="str">
        <x:v>1,151,612.00</x:v>
      </x:c>
      <x:c r="J336" s="4" t="str">
        <x:v>华夏合肥高新REIT_2024年报_20250331.pdf，PDF第45页，现金流量表</x:v>
      </x:c>
    </x:row>
    <x:row r="337" ht="32" customHeight="1">
      <x:c r="A337" s="4" t="str">
        <x:v>华夏合肥高新REIT</x:v>
      </x:c>
      <x:c r="B337" s="4" t="str">
        <x:v>2024年度</x:v>
      </x:c>
      <x:c r="C337" s="4" t="str">
        <x:v>基金个别</x:v>
      </x:c>
      <x:c r="D337" s="4" t="n">
        <x:v>15</x:v>
      </x:c>
      <x:c r="E337" s="4" t="str">
        <x:v>经营活动现金流出小计</x:v>
      </x:c>
      <x:c r="F337" s="8" t="n">
        <x:v>4030018.01</x:v>
      </x:c>
      <x:c r="G337" s="8" t="n">
        <x:v>1151612</x:v>
      </x:c>
      <x:c r="H337" s="4" t="str">
        <x:v>4,030,018.01</x:v>
      </x:c>
      <x:c r="I337" s="4" t="str">
        <x:v>1,151,612.00</x:v>
      </x:c>
      <x:c r="J337" s="4" t="str">
        <x:v>华夏合肥高新REIT_2024年报_20250331.pdf，PDF第45页，现金流量表</x:v>
      </x:c>
    </x:row>
    <x:row r="338" ht="32" customHeight="1">
      <x:c r="A338" s="4" t="str">
        <x:v>华夏合肥高新REIT</x:v>
      </x:c>
      <x:c r="B338" s="4" t="str">
        <x:v>2024年度</x:v>
      </x:c>
      <x:c r="C338" s="4" t="str">
        <x:v>基金个别</x:v>
      </x:c>
      <x:c r="D338" s="4" t="n">
        <x:v>16</x:v>
      </x:c>
      <x:c r="E338" s="4" t="str">
        <x:v>经营活动产生的现金流量净额</x:v>
      </x:c>
      <x:c r="F338" s="8" t="n">
        <x:v>96143681.86</x:v>
      </x:c>
      <x:c r="G338" s="8" t="n">
        <x:v>52135837.37</x:v>
      </x:c>
      <x:c r="H338" s="4" t="str">
        <x:v>96,143,681.86</x:v>
      </x:c>
      <x:c r="I338" s="4" t="str">
        <x:v>52,135,837.37</x:v>
      </x:c>
      <x:c r="J338" s="4" t="str">
        <x:v>华夏合肥高新REIT_2024年报_20250331.pdf，PDF第45页，现金流量表</x:v>
      </x:c>
    </x:row>
    <x:row r="339" ht="32" customHeight="1">
      <x:c r="A339" s="4" t="str">
        <x:v>华夏合肥高新REIT</x:v>
      </x:c>
      <x:c r="B339" s="4" t="str">
        <x:v>2024年度</x:v>
      </x:c>
      <x:c r="C339" s="4" t="str">
        <x:v>基金个别</x:v>
      </x:c>
      <x:c r="D339" s="4" t="n">
        <x:v>17</x:v>
      </x:c>
      <x:c r="E339" s="4" t="str">
        <x:v>14.认购/申购收到的现金</x:v>
      </x:c>
      <x:c r="F339" s="8" t="n">
        <x:v>0</x:v>
      </x:c>
      <x:c r="G339" s="8" t="n">
        <x:v>0</x:v>
      </x:c>
      <x:c r="H339" s="4" t="str">
        <x:v>-</x:v>
      </x:c>
      <x:c r="I339" s="4" t="str">
        <x:v>-</x:v>
      </x:c>
      <x:c r="J339" s="4" t="str">
        <x:v>华夏合肥高新REIT_2024年报_20250331.pdf，PDF第45页，现金流量表</x:v>
      </x:c>
    </x:row>
    <x:row r="340" ht="32" customHeight="1">
      <x:c r="A340" s="4" t="str">
        <x:v>华夏合肥高新REIT</x:v>
      </x:c>
      <x:c r="B340" s="4" t="str">
        <x:v>2024年度</x:v>
      </x:c>
      <x:c r="C340" s="4" t="str">
        <x:v>基金个别</x:v>
      </x:c>
      <x:c r="D340" s="4" t="n">
        <x:v>18</x:v>
      </x:c>
      <x:c r="E340" s="4" t="str">
        <x:v>15.收到其他与筹资活动有关的现金</x:v>
      </x:c>
      <x:c r="F340" s="8" t="n">
        <x:v>0</x:v>
      </x:c>
      <x:c r="G340" s="8" t="n">
        <x:v>0</x:v>
      </x:c>
      <x:c r="H340" s="4" t="str">
        <x:v>-</x:v>
      </x:c>
      <x:c r="I340" s="4" t="str">
        <x:v>-</x:v>
      </x:c>
      <x:c r="J340" s="4" t="str">
        <x:v>华夏合肥高新REIT_2024年报_20250331.pdf，PDF第45页，现金流量表</x:v>
      </x:c>
    </x:row>
    <x:row r="341" ht="32" customHeight="1">
      <x:c r="A341" s="4" t="str">
        <x:v>华夏合肥高新REIT</x:v>
      </x:c>
      <x:c r="B341" s="4" t="str">
        <x:v>2024年度</x:v>
      </x:c>
      <x:c r="C341" s="4" t="str">
        <x:v>基金个别</x:v>
      </x:c>
      <x:c r="D341" s="4" t="n">
        <x:v>19</x:v>
      </x:c>
      <x:c r="E341" s="4" t="str">
        <x:v>筹资活动现金流入小计</x:v>
      </x:c>
      <x:c r="F341" s="8" t="n">
        <x:v>0</x:v>
      </x:c>
      <x:c r="G341" s="8" t="n">
        <x:v>0</x:v>
      </x:c>
      <x:c r="H341" s="4" t="str">
        <x:v>-</x:v>
      </x:c>
      <x:c r="I341" s="4" t="str">
        <x:v>-</x:v>
      </x:c>
      <x:c r="J341" s="4" t="str">
        <x:v>华夏合肥高新REIT_2024年报_20250331.pdf，PDF第45页，现金流量表</x:v>
      </x:c>
    </x:row>
    <x:row r="342" ht="32" customHeight="1">
      <x:c r="A342" s="4" t="str">
        <x:v>华夏合肥高新REIT</x:v>
      </x:c>
      <x:c r="B342" s="4" t="str">
        <x:v>2024年度</x:v>
      </x:c>
      <x:c r="C342" s="4" t="str">
        <x:v>基金个别</x:v>
      </x:c>
      <x:c r="D342" s="4" t="n">
        <x:v>20</x:v>
      </x:c>
      <x:c r="E342" s="4" t="str">
        <x:v>16.赎回支付的现金</x:v>
      </x:c>
      <x:c r="F342" s="8" t="n">
        <x:v>0</x:v>
      </x:c>
      <x:c r="G342" s="8" t="n">
        <x:v>0</x:v>
      </x:c>
      <x:c r="H342" s="4" t="str">
        <x:v>-</x:v>
      </x:c>
      <x:c r="I342" s="4" t="str">
        <x:v>-</x:v>
      </x:c>
      <x:c r="J342" s="4" t="str">
        <x:v>华夏合肥高新REIT_2024年报_20250331.pdf，PDF第45页，现金流量表</x:v>
      </x:c>
    </x:row>
    <x:row r="343" ht="32" customHeight="1">
      <x:c r="A343" s="4" t="str">
        <x:v>华夏合肥高新REIT</x:v>
      </x:c>
      <x:c r="B343" s="4" t="str">
        <x:v>2024年度</x:v>
      </x:c>
      <x:c r="C343" s="4" t="str">
        <x:v>基金个别</x:v>
      </x:c>
      <x:c r="D343" s="4" t="n">
        <x:v>21</x:v>
      </x:c>
      <x:c r="E343" s="4" t="str">
        <x:v>17.偿付利息支付的现金</x:v>
      </x:c>
      <x:c r="F343" s="8" t="n">
        <x:v>0</x:v>
      </x:c>
      <x:c r="G343" s="8" t="n">
        <x:v>0</x:v>
      </x:c>
      <x:c r="H343" s="4" t="str">
        <x:v>-</x:v>
      </x:c>
      <x:c r="I343" s="4" t="str">
        <x:v>-</x:v>
      </x:c>
      <x:c r="J343" s="4" t="str">
        <x:v>华夏合肥高新REIT_2024年报_20250331.pdf，PDF第45页，现金流量表</x:v>
      </x:c>
    </x:row>
    <x:row r="344" ht="32" customHeight="1">
      <x:c r="A344" s="4" t="str">
        <x:v>华夏合肥高新REIT</x:v>
      </x:c>
      <x:c r="B344" s="4" t="str">
        <x:v>2024年度</x:v>
      </x:c>
      <x:c r="C344" s="4" t="str">
        <x:v>基金个别</x:v>
      </x:c>
      <x:c r="D344" s="4" t="n">
        <x:v>22</x:v>
      </x:c>
      <x:c r="E344" s="4" t="str">
        <x:v>18.分配支付的现金</x:v>
      </x:c>
      <x:c r="F344" s="8" t="n">
        <x:v>95171545.28</x:v>
      </x:c>
      <x:c r="G344" s="8" t="n">
        <x:v>58148739.02</x:v>
      </x:c>
      <x:c r="H344" s="4" t="str">
        <x:v>95,171,545.28</x:v>
      </x:c>
      <x:c r="I344" s="4" t="str">
        <x:v>58,148,739.02</x:v>
      </x:c>
      <x:c r="J344" s="4" t="str">
        <x:v>华夏合肥高新REIT_2024年报_20250331.pdf，PDF第45页，现金流量表</x:v>
      </x:c>
    </x:row>
    <x:row r="345" ht="32" customHeight="1">
      <x:c r="A345" s="4" t="str">
        <x:v>华夏合肥高新REIT</x:v>
      </x:c>
      <x:c r="B345" s="4" t="str">
        <x:v>2024年度</x:v>
      </x:c>
      <x:c r="C345" s="4" t="str">
        <x:v>基金个别</x:v>
      </x:c>
      <x:c r="D345" s="4" t="n">
        <x:v>23</x:v>
      </x:c>
      <x:c r="E345" s="4" t="str">
        <x:v>19.支付其他与筹资活动有关的现金</x:v>
      </x:c>
      <x:c r="F345" s="8" t="n">
        <x:v>0</x:v>
      </x:c>
      <x:c r="G345" s="8" t="n">
        <x:v>0</x:v>
      </x:c>
      <x:c r="H345" s="4" t="str">
        <x:v>-</x:v>
      </x:c>
      <x:c r="I345" s="4" t="str">
        <x:v>-</x:v>
      </x:c>
      <x:c r="J345" s="4" t="str">
        <x:v>华夏合肥高新REIT_2024年报_20250331.pdf，PDF第45页，现金流量表</x:v>
      </x:c>
    </x:row>
    <x:row r="346" ht="32" customHeight="1">
      <x:c r="A346" s="4" t="str">
        <x:v>华夏合肥高新REIT</x:v>
      </x:c>
      <x:c r="B346" s="4" t="str">
        <x:v>2024年度</x:v>
      </x:c>
      <x:c r="C346" s="4" t="str">
        <x:v>基金个别</x:v>
      </x:c>
      <x:c r="D346" s="4" t="n">
        <x:v>24</x:v>
      </x:c>
      <x:c r="E346" s="4" t="str">
        <x:v>筹资活动现金流出小计</x:v>
      </x:c>
      <x:c r="F346" s="8" t="n">
        <x:v>95171545.28</x:v>
      </x:c>
      <x:c r="G346" s="8" t="n">
        <x:v>58148739.02</x:v>
      </x:c>
      <x:c r="H346" s="4" t="str">
        <x:v>95,171,545.28</x:v>
      </x:c>
      <x:c r="I346" s="4" t="str">
        <x:v>58,148,739.02</x:v>
      </x:c>
      <x:c r="J346" s="4" t="str">
        <x:v>华夏合肥高新REIT_2024年报_20250331.pdf，PDF第45页，现金流量表</x:v>
      </x:c>
    </x:row>
    <x:row r="347" ht="32" customHeight="1">
      <x:c r="A347" s="4" t="str">
        <x:v>华夏合肥高新REIT</x:v>
      </x:c>
      <x:c r="B347" s="4" t="str">
        <x:v>2024年度</x:v>
      </x:c>
      <x:c r="C347" s="4" t="str">
        <x:v>基金个别</x:v>
      </x:c>
      <x:c r="D347" s="4" t="n">
        <x:v>25</x:v>
      </x:c>
      <x:c r="E347" s="4" t="str">
        <x:v>筹资活动产生的现金流量净额</x:v>
      </x:c>
      <x:c r="F347" s="8" t="n">
        <x:v>-95171545.28</x:v>
      </x:c>
      <x:c r="G347" s="8" t="n">
        <x:v>-58148739.02</x:v>
      </x:c>
      <x:c r="H347" s="4" t="str">
        <x:v>-95,171,545.28</x:v>
      </x:c>
      <x:c r="I347" s="4" t="str">
        <x:v>-58,148,739.02</x:v>
      </x:c>
      <x:c r="J347" s="4" t="str">
        <x:v>华夏合肥高新REIT_2024年报_20250331.pdf，PDF第45页，现金流量表</x:v>
      </x:c>
    </x:row>
    <x:row r="348" ht="32" customHeight="1">
      <x:c r="A348" s="4" t="str">
        <x:v>华夏合肥高新REIT</x:v>
      </x:c>
      <x:c r="B348" s="4" t="str">
        <x:v>2024年度</x:v>
      </x:c>
      <x:c r="C348" s="4" t="str">
        <x:v>基金个别</x:v>
      </x:c>
      <x:c r="D348" s="4" t="n">
        <x:v>26</x:v>
      </x:c>
      <x:c r="E348" s="4" t="str">
        <x:v>三、汇率变动对现金及现金等价物的影响</x:v>
      </x:c>
      <x:c r="F348" s="8" t="n">
        <x:v>0</x:v>
      </x:c>
      <x:c r="G348" s="8" t="n">
        <x:v>0</x:v>
      </x:c>
      <x:c r="H348" s="4" t="str">
        <x:v>-</x:v>
      </x:c>
      <x:c r="I348" s="4" t="str">
        <x:v>-</x:v>
      </x:c>
      <x:c r="J348" s="4" t="str">
        <x:v>华夏合肥高新REIT_2024年报_20250331.pdf，PDF第45页，现金流量表</x:v>
      </x:c>
    </x:row>
    <x:row r="349" ht="32" customHeight="1">
      <x:c r="A349" s="4" t="str">
        <x:v>华夏合肥高新REIT</x:v>
      </x:c>
      <x:c r="B349" s="4" t="str">
        <x:v>2024年度</x:v>
      </x:c>
      <x:c r="C349" s="4" t="str">
        <x:v>基金个别</x:v>
      </x:c>
      <x:c r="D349" s="4" t="n">
        <x:v>27</x:v>
      </x:c>
      <x:c r="E349" s="4" t="str">
        <x:v>四、现金及现金等价物净增加额</x:v>
      </x:c>
      <x:c r="F349" s="8" t="n">
        <x:v>972136.58</x:v>
      </x:c>
      <x:c r="G349" s="8" t="n">
        <x:v>-6012901.65</x:v>
      </x:c>
      <x:c r="H349" s="4" t="str">
        <x:v>972,136.58</x:v>
      </x:c>
      <x:c r="I349" s="4" t="str">
        <x:v>-6,012,901.65</x:v>
      </x:c>
      <x:c r="J349" s="4" t="str">
        <x:v>华夏合肥高新REIT_2024年报_20250331.pdf，PDF第45页，现金流量表</x:v>
      </x:c>
    </x:row>
    <x:row r="350" ht="32" customHeight="1">
      <x:c r="A350" s="4" t="str">
        <x:v>华夏合肥高新REIT</x:v>
      </x:c>
      <x:c r="B350" s="4" t="str">
        <x:v>2024年度</x:v>
      </x:c>
      <x:c r="C350" s="4" t="str">
        <x:v>基金个别</x:v>
      </x:c>
      <x:c r="D350" s="4" t="n">
        <x:v>28</x:v>
      </x:c>
      <x:c r="E350" s="4" t="str">
        <x:v>加：期初现金及现金等价物余额</x:v>
      </x:c>
      <x:c r="F350" s="8" t="n">
        <x:v>2985261.01</x:v>
      </x:c>
      <x:c r="G350" s="8" t="n">
        <x:v>8998162.66</x:v>
      </x:c>
      <x:c r="H350" s="4" t="str">
        <x:v>2,985,261.01</x:v>
      </x:c>
      <x:c r="I350" s="4" t="str">
        <x:v>8,998,162.66</x:v>
      </x:c>
      <x:c r="J350" s="4" t="str">
        <x:v>华夏合肥高新REIT_2024年报_20250331.pdf，PDF第45页，现金流量表</x:v>
      </x:c>
    </x:row>
    <x:row r="351" ht="32" customHeight="1">
      <x:c r="A351" s="4" t="str">
        <x:v>华夏合肥高新REIT</x:v>
      </x:c>
      <x:c r="B351" s="4" t="str">
        <x:v>2024年度</x:v>
      </x:c>
      <x:c r="C351" s="4" t="str">
        <x:v>基金个别</x:v>
      </x:c>
      <x:c r="D351" s="4" t="n">
        <x:v>29</x:v>
      </x:c>
      <x:c r="E351" s="4" t="str">
        <x:v>五、期末现金及现金等价物余额</x:v>
      </x:c>
      <x:c r="F351" s="8" t="n">
        <x:v>3957397.59</x:v>
      </x:c>
      <x:c r="G351" s="8" t="n">
        <x:v>2985261.01</x:v>
      </x:c>
      <x:c r="H351" s="4" t="str">
        <x:v>3,957,397.59</x:v>
      </x:c>
      <x:c r="I351" s="4" t="str">
        <x:v>2,985,261.01</x:v>
      </x:c>
      <x:c r="J351" s="4" t="str">
        <x:v>华夏合肥高新REIT_2024年报_20250331.pdf，PDF第45页，现金流量表</x:v>
      </x:c>
    </x:row>
    <x:row r="352" ht="32" customHeight="1">
      <x:c r="A352" s="4" t="str">
        <x:v>华夏合肥高新REIT</x:v>
      </x:c>
      <x:c r="B352" s="4" t="str">
        <x:v>2025上半年</x:v>
      </x:c>
      <x:c r="C352" s="4" t="str">
        <x:v>合并</x:v>
      </x:c>
      <x:c r="D352" s="4" t="n">
        <x:v>1</x:v>
      </x:c>
      <x:c r="E352" s="4" t="str">
        <x:v>1.销售商品、提供劳务收到的现金</x:v>
      </x:c>
      <x:c r="F352" s="8" t="n">
        <x:v>45947829.17</x:v>
      </x:c>
      <x:c r="G352" s="8" t="n">
        <x:v>46126034.66</x:v>
      </x:c>
      <x:c r="H352" s="4" t="str">
        <x:v>45,947,829.17</x:v>
      </x:c>
      <x:c r="I352" s="4" t="str">
        <x:v>46,126,034.66</x:v>
      </x:c>
      <x:c r="J352" s="4" t="str">
        <x:v>华夏合肥高新REIT_2025中报_20250830.pdf，PDF第37页，现金流量表</x:v>
      </x:c>
    </x:row>
    <x:row r="353" ht="32" customHeight="1">
      <x:c r="A353" s="4" t="str">
        <x:v>华夏合肥高新REIT</x:v>
      </x:c>
      <x:c r="B353" s="4" t="str">
        <x:v>2025上半年</x:v>
      </x:c>
      <x:c r="C353" s="4" t="str">
        <x:v>合并</x:v>
      </x:c>
      <x:c r="D353" s="4" t="n">
        <x:v>2</x:v>
      </x:c>
      <x:c r="E353" s="4" t="str">
        <x:v>2.处置证券投资收到的现金净额</x:v>
      </x:c>
      <x:c r="F353" s="8" t="n">
        <x:v>0</x:v>
      </x:c>
      <x:c r="G353" s="8" t="n">
        <x:v>0</x:v>
      </x:c>
      <x:c r="H353" s="4" t="str">
        <x:v>-</x:v>
      </x:c>
      <x:c r="I353" s="4" t="str">
        <x:v>-</x:v>
      </x:c>
      <x:c r="J353" s="4" t="str">
        <x:v>华夏合肥高新REIT_2025中报_20250830.pdf，PDF第37页，现金流量表</x:v>
      </x:c>
    </x:row>
    <x:row r="354" ht="32" customHeight="1">
      <x:c r="A354" s="4" t="str">
        <x:v>华夏合肥高新REIT</x:v>
      </x:c>
      <x:c r="B354" s="4" t="str">
        <x:v>2025上半年</x:v>
      </x:c>
      <x:c r="C354" s="4" t="str">
        <x:v>合并</x:v>
      </x:c>
      <x:c r="D354" s="4" t="n">
        <x:v>3</x:v>
      </x:c>
      <x:c r="E354" s="4" t="str">
        <x:v>3.买入返售金融资产净减少额</x:v>
      </x:c>
      <x:c r="F354" s="8" t="n">
        <x:v>0</x:v>
      </x:c>
      <x:c r="G354" s="8" t="n">
        <x:v>0</x:v>
      </x:c>
      <x:c r="H354" s="4" t="str">
        <x:v>-</x:v>
      </x:c>
      <x:c r="I354" s="4" t="str">
        <x:v>-</x:v>
      </x:c>
      <x:c r="J354" s="4" t="str">
        <x:v>华夏合肥高新REIT_2025中报_20250830.pdf，PDF第37页，现金流量表</x:v>
      </x:c>
    </x:row>
    <x:row r="355" ht="32" customHeight="1">
      <x:c r="A355" s="4" t="str">
        <x:v>华夏合肥高新REIT</x:v>
      </x:c>
      <x:c r="B355" s="4" t="str">
        <x:v>2025上半年</x:v>
      </x:c>
      <x:c r="C355" s="4" t="str">
        <x:v>合并</x:v>
      </x:c>
      <x:c r="D355" s="4" t="n">
        <x:v>4</x:v>
      </x:c>
      <x:c r="E355" s="4" t="str">
        <x:v>4.卖出回购金融资产款净增加额</x:v>
      </x:c>
      <x:c r="F355" s="8" t="n">
        <x:v>0</x:v>
      </x:c>
      <x:c r="G355" s="8" t="n">
        <x:v>0</x:v>
      </x:c>
      <x:c r="H355" s="4" t="str">
        <x:v>-</x:v>
      </x:c>
      <x:c r="I355" s="4" t="str">
        <x:v>-</x:v>
      </x:c>
      <x:c r="J355" s="4" t="str">
        <x:v>华夏合肥高新REIT_2025中报_20250830.pdf，PDF第37页，现金流量表</x:v>
      </x:c>
    </x:row>
    <x:row r="356" ht="32" customHeight="1">
      <x:c r="A356" s="4" t="str">
        <x:v>华夏合肥高新REIT</x:v>
      </x:c>
      <x:c r="B356" s="4" t="str">
        <x:v>2025上半年</x:v>
      </x:c>
      <x:c r="C356" s="4" t="str">
        <x:v>合并</x:v>
      </x:c>
      <x:c r="D356" s="4" t="n">
        <x:v>5</x:v>
      </x:c>
      <x:c r="E356" s="4" t="str">
        <x:v>5.取得利息收入收到的现金</x:v>
      </x:c>
      <x:c r="F356" s="8" t="n">
        <x:v>64164.05</x:v>
      </x:c>
      <x:c r="G356" s="8" t="n">
        <x:v>121681.09</x:v>
      </x:c>
      <x:c r="H356" s="4" t="str">
        <x:v>64,164.05</x:v>
      </x:c>
      <x:c r="I356" s="4" t="str">
        <x:v>121,681.09</x:v>
      </x:c>
      <x:c r="J356" s="4" t="str">
        <x:v>华夏合肥高新REIT_2025中报_20250830.pdf，PDF第37页，现金流量表</x:v>
      </x:c>
    </x:row>
    <x:row r="357" ht="32" customHeight="1">
      <x:c r="A357" s="4" t="str">
        <x:v>华夏合肥高新REIT</x:v>
      </x:c>
      <x:c r="B357" s="4" t="str">
        <x:v>2025上半年</x:v>
      </x:c>
      <x:c r="C357" s="4" t="str">
        <x:v>合并</x:v>
      </x:c>
      <x:c r="D357" s="4" t="n">
        <x:v>6</x:v>
      </x:c>
      <x:c r="E357" s="4" t="str">
        <x:v>6.收到的税费返还</x:v>
      </x:c>
      <x:c r="F357" s="8" t="n">
        <x:v>0</x:v>
      </x:c>
      <x:c r="G357" s="8" t="n">
        <x:v>0</x:v>
      </x:c>
      <x:c r="H357" s="4" t="str">
        <x:v>-</x:v>
      </x:c>
      <x:c r="I357" s="4" t="str">
        <x:v>-</x:v>
      </x:c>
      <x:c r="J357" s="4" t="str">
        <x:v>华夏合肥高新REIT_2025中报_20250830.pdf，PDF第37页，现金流量表</x:v>
      </x:c>
    </x:row>
    <x:row r="358" ht="32" customHeight="1">
      <x:c r="A358" s="4" t="str">
        <x:v>华夏合肥高新REIT</x:v>
      </x:c>
      <x:c r="B358" s="4" t="str">
        <x:v>2025上半年</x:v>
      </x:c>
      <x:c r="C358" s="4" t="str">
        <x:v>合并</x:v>
      </x:c>
      <x:c r="D358" s="4" t="n">
        <x:v>7</x:v>
      </x:c>
      <x:c r="E358" s="4" t="str">
        <x:v>7.收到其他与经营活动有关的现金</x:v>
      </x:c>
      <x:c r="F358" s="8" t="n">
        <x:v>6950322.11</x:v>
      </x:c>
      <x:c r="G358" s="8" t="n">
        <x:v>10062413.44</x:v>
      </x:c>
      <x:c r="H358" s="4" t="str">
        <x:v>6,950,322.11</x:v>
      </x:c>
      <x:c r="I358" s="4" t="str">
        <x:v>10,062,413.44</x:v>
      </x:c>
      <x:c r="J358" s="4" t="str">
        <x:v>华夏合肥高新REIT_2025中报_20250830.pdf，PDF第37页，现金流量表</x:v>
      </x:c>
    </x:row>
    <x:row r="359" ht="32" customHeight="1">
      <x:c r="A359" s="4" t="str">
        <x:v>华夏合肥高新REIT</x:v>
      </x:c>
      <x:c r="B359" s="4" t="str">
        <x:v>2025上半年</x:v>
      </x:c>
      <x:c r="C359" s="4" t="str">
        <x:v>合并</x:v>
      </x:c>
      <x:c r="D359" s="4" t="n">
        <x:v>8</x:v>
      </x:c>
      <x:c r="E359" s="4" t="str">
        <x:v>经营活动现金流入小计</x:v>
      </x:c>
      <x:c r="F359" s="8" t="n">
        <x:v>52962315.33</x:v>
      </x:c>
      <x:c r="G359" s="8" t="n">
        <x:v>56310129.19</x:v>
      </x:c>
      <x:c r="H359" s="4" t="str">
        <x:v>52,962,315.33</x:v>
      </x:c>
      <x:c r="I359" s="4" t="str">
        <x:v>56,310,129.19</x:v>
      </x:c>
      <x:c r="J359" s="4" t="str">
        <x:v>华夏合肥高新REIT_2025中报_20250830.pdf，PDF第37页，现金流量表</x:v>
      </x:c>
    </x:row>
    <x:row r="360" ht="32" customHeight="1">
      <x:c r="A360" s="4" t="str">
        <x:v>华夏合肥高新REIT</x:v>
      </x:c>
      <x:c r="B360" s="4" t="str">
        <x:v>2025上半年</x:v>
      </x:c>
      <x:c r="C360" s="4" t="str">
        <x:v>合并</x:v>
      </x:c>
      <x:c r="D360" s="4" t="n">
        <x:v>9</x:v>
      </x:c>
      <x:c r="E360" s="4" t="str">
        <x:v>8.购买商品、接受劳务支付的现金</x:v>
      </x:c>
      <x:c r="F360" s="8" t="n">
        <x:v>15031028.71</x:v>
      </x:c>
      <x:c r="G360" s="8" t="n">
        <x:v>14733305.2</x:v>
      </x:c>
      <x:c r="H360" s="4" t="str">
        <x:v>15,031,028.71</x:v>
      </x:c>
      <x:c r="I360" s="4" t="str">
        <x:v>14,733,305.20</x:v>
      </x:c>
      <x:c r="J360" s="4" t="str">
        <x:v>华夏合肥高新REIT_2025中报_20250830.pdf，PDF第37页，现金流量表</x:v>
      </x:c>
    </x:row>
    <x:row r="361" ht="32" customHeight="1">
      <x:c r="A361" s="4" t="str">
        <x:v>华夏合肥高新REIT</x:v>
      </x:c>
      <x:c r="B361" s="4" t="str">
        <x:v>2025上半年</x:v>
      </x:c>
      <x:c r="C361" s="4" t="str">
        <x:v>合并</x:v>
      </x:c>
      <x:c r="D361" s="4" t="n">
        <x:v>10</x:v>
      </x:c>
      <x:c r="E361" s="4" t="str">
        <x:v>9.取得证券投资支付的现金净额</x:v>
      </x:c>
      <x:c r="F361" s="8" t="n">
        <x:v>0</x:v>
      </x:c>
      <x:c r="G361" s="8" t="n">
        <x:v>0</x:v>
      </x:c>
      <x:c r="H361" s="4" t="str">
        <x:v>-</x:v>
      </x:c>
      <x:c r="I361" s="4" t="str">
        <x:v>-</x:v>
      </x:c>
      <x:c r="J361" s="4" t="str">
        <x:v>华夏合肥高新REIT_2025中报_20250830.pdf，PDF第37页，现金流量表</x:v>
      </x:c>
    </x:row>
    <x:row r="362" ht="32" customHeight="1">
      <x:c r="A362" s="4" t="str">
        <x:v>华夏合肥高新REIT</x:v>
      </x:c>
      <x:c r="B362" s="4" t="str">
        <x:v>2025上半年</x:v>
      </x:c>
      <x:c r="C362" s="4" t="str">
        <x:v>合并</x:v>
      </x:c>
      <x:c r="D362" s="4" t="n">
        <x:v>11</x:v>
      </x:c>
      <x:c r="E362" s="4" t="str">
        <x:v>10.买入返售金融资产净增加额</x:v>
      </x:c>
      <x:c r="F362" s="8" t="n">
        <x:v>0</x:v>
      </x:c>
      <x:c r="G362" s="8" t="n">
        <x:v>0</x:v>
      </x:c>
      <x:c r="H362" s="4" t="str">
        <x:v>-</x:v>
      </x:c>
      <x:c r="I362" s="4" t="str">
        <x:v>-</x:v>
      </x:c>
      <x:c r="J362" s="4" t="str">
        <x:v>华夏合肥高新REIT_2025中报_20250830.pdf，PDF第37页，现金流量表</x:v>
      </x:c>
    </x:row>
    <x:row r="363" ht="32" customHeight="1">
      <x:c r="A363" s="4" t="str">
        <x:v>华夏合肥高新REIT</x:v>
      </x:c>
      <x:c r="B363" s="4" t="str">
        <x:v>2025上半年</x:v>
      </x:c>
      <x:c r="C363" s="4" t="str">
        <x:v>合并</x:v>
      </x:c>
      <x:c r="D363" s="4" t="n">
        <x:v>12</x:v>
      </x:c>
      <x:c r="E363" s="4" t="str">
        <x:v>11.卖出回购金融资产款净减少额</x:v>
      </x:c>
      <x:c r="F363" s="8" t="n">
        <x:v>0</x:v>
      </x:c>
      <x:c r="G363" s="8" t="n">
        <x:v>0</x:v>
      </x:c>
      <x:c r="H363" s="4" t="str">
        <x:v>-</x:v>
      </x:c>
      <x:c r="I363" s="4" t="str">
        <x:v>-</x:v>
      </x:c>
      <x:c r="J363" s="4" t="str">
        <x:v>华夏合肥高新REIT_2025中报_20250830.pdf，PDF第37页，现金流量表</x:v>
      </x:c>
    </x:row>
    <x:row r="364" ht="32" customHeight="1">
      <x:c r="A364" s="4" t="str">
        <x:v>华夏合肥高新REIT</x:v>
      </x:c>
      <x:c r="B364" s="4" t="str">
        <x:v>2025上半年</x:v>
      </x:c>
      <x:c r="C364" s="4" t="str">
        <x:v>合并</x:v>
      </x:c>
      <x:c r="D364" s="4" t="n">
        <x:v>13</x:v>
      </x:c>
      <x:c r="E364" s="4" t="str">
        <x:v>12.支付给职工以及为职工支付的现金</x:v>
      </x:c>
      <x:c r="F364" s="8" t="n">
        <x:v>320317.98</x:v>
      </x:c>
      <x:c r="G364" s="8" t="n">
        <x:v>341261.98</x:v>
      </x:c>
      <x:c r="H364" s="4" t="str">
        <x:v>320,317.98</x:v>
      </x:c>
      <x:c r="I364" s="4" t="str">
        <x:v>341,261.98</x:v>
      </x:c>
      <x:c r="J364" s="4" t="str">
        <x:v>华夏合肥高新REIT_2025中报_20250830.pdf，PDF第37页，现金流量表</x:v>
      </x:c>
    </x:row>
    <x:row r="365" ht="32" customHeight="1">
      <x:c r="A365" s="4" t="str">
        <x:v>华夏合肥高新REIT</x:v>
      </x:c>
      <x:c r="B365" s="4" t="str">
        <x:v>2025上半年</x:v>
      </x:c>
      <x:c r="C365" s="4" t="str">
        <x:v>合并</x:v>
      </x:c>
      <x:c r="D365" s="4" t="n">
        <x:v>14</x:v>
      </x:c>
      <x:c r="E365" s="4" t="str">
        <x:v>13.支付的各项税费</x:v>
      </x:c>
      <x:c r="F365" s="8" t="n">
        <x:v>10106408.05</x:v>
      </x:c>
      <x:c r="G365" s="8" t="n">
        <x:v>11113957.51</x:v>
      </x:c>
      <x:c r="H365" s="4" t="str">
        <x:v>10,106,408.05</x:v>
      </x:c>
      <x:c r="I365" s="4" t="str">
        <x:v>11,113,957.51</x:v>
      </x:c>
      <x:c r="J365" s="4" t="str">
        <x:v>华夏合肥高新REIT_2025中报_20250830.pdf，PDF第37页，现金流量表</x:v>
      </x:c>
    </x:row>
    <x:row r="366" ht="32" customHeight="1">
      <x:c r="A366" s="4" t="str">
        <x:v>华夏合肥高新REIT</x:v>
      </x:c>
      <x:c r="B366" s="4" t="str">
        <x:v>2025上半年</x:v>
      </x:c>
      <x:c r="C366" s="4" t="str">
        <x:v>合并</x:v>
      </x:c>
      <x:c r="D366" s="4" t="n">
        <x:v>15</x:v>
      </x:c>
      <x:c r="E366" s="4" t="str">
        <x:v>14.支付其他与经营活动有关的现金</x:v>
      </x:c>
      <x:c r="F366" s="8" t="n">
        <x:v>9392938.29</x:v>
      </x:c>
      <x:c r="G366" s="8" t="n">
        <x:v>9338446.68</x:v>
      </x:c>
      <x:c r="H366" s="4" t="str">
        <x:v>9,392,938.29</x:v>
      </x:c>
      <x:c r="I366" s="4" t="str">
        <x:v>9,338,446.68</x:v>
      </x:c>
      <x:c r="J366" s="4" t="str">
        <x:v>华夏合肥高新REIT_2025中报_20250830.pdf，PDF第37页，现金流量表</x:v>
      </x:c>
    </x:row>
    <x:row r="367" ht="32" customHeight="1">
      <x:c r="A367" s="4" t="str">
        <x:v>华夏合肥高新REIT</x:v>
      </x:c>
      <x:c r="B367" s="4" t="str">
        <x:v>2025上半年</x:v>
      </x:c>
      <x:c r="C367" s="4" t="str">
        <x:v>合并</x:v>
      </x:c>
      <x:c r="D367" s="4" t="n">
        <x:v>16</x:v>
      </x:c>
      <x:c r="E367" s="4" t="str">
        <x:v>经营活动现金流出小计</x:v>
      </x:c>
      <x:c r="F367" s="8" t="n">
        <x:v>34850693.03</x:v>
      </x:c>
      <x:c r="G367" s="8" t="n">
        <x:v>35526971.37</x:v>
      </x:c>
      <x:c r="H367" s="4" t="str">
        <x:v>34,850,693.03</x:v>
      </x:c>
      <x:c r="I367" s="4" t="str">
        <x:v>35,526,971.37</x:v>
      </x:c>
      <x:c r="J367" s="4" t="str">
        <x:v>华夏合肥高新REIT_2025中报_20250830.pdf，PDF第37页，现金流量表</x:v>
      </x:c>
    </x:row>
    <x:row r="368" ht="32" customHeight="1">
      <x:c r="A368" s="4" t="str">
        <x:v>华夏合肥高新REIT</x:v>
      </x:c>
      <x:c r="B368" s="4" t="str">
        <x:v>2025上半年</x:v>
      </x:c>
      <x:c r="C368" s="4" t="str">
        <x:v>合并</x:v>
      </x:c>
      <x:c r="D368" s="4" t="n">
        <x:v>17</x:v>
      </x:c>
      <x:c r="E368" s="4" t="str">
        <x:v>经营活动产生的现金流量净额</x:v>
      </x:c>
      <x:c r="F368" s="8" t="n">
        <x:v>18111622.3</x:v>
      </x:c>
      <x:c r="G368" s="8" t="n">
        <x:v>20783157.82</x:v>
      </x:c>
      <x:c r="H368" s="4" t="str">
        <x:v>18,111,622.30</x:v>
      </x:c>
      <x:c r="I368" s="4" t="str">
        <x:v>20,783,157.82</x:v>
      </x:c>
      <x:c r="J368" s="4" t="str">
        <x:v>华夏合肥高新REIT_2025中报_20250830.pdf，PDF第37页，现金流量表</x:v>
      </x:c>
    </x:row>
    <x:row r="369" ht="32" customHeight="1">
      <x:c r="A369" s="4" t="str">
        <x:v>华夏合肥高新REIT</x:v>
      </x:c>
      <x:c r="B369" s="4" t="str">
        <x:v>2025上半年</x:v>
      </x:c>
      <x:c r="C369" s="4" t="str">
        <x:v>合并</x:v>
      </x:c>
      <x:c r="D369" s="4" t="n">
        <x:v>18</x:v>
      </x:c>
      <x:c r="E369" s="4" t="str">
        <x:v>15.处置固定资产、无形资产和其他长期资产收到的现金净额</x:v>
      </x:c>
      <x:c r="F369" s="8" t="n">
        <x:v>0</x:v>
      </x:c>
      <x:c r="G369" s="8" t="n">
        <x:v>0</x:v>
      </x:c>
      <x:c r="H369" s="4" t="str">
        <x:v>-</x:v>
      </x:c>
      <x:c r="I369" s="4" t="str">
        <x:v>-</x:v>
      </x:c>
      <x:c r="J369" s="4" t="str">
        <x:v>华夏合肥高新REIT_2025中报_20250830.pdf，PDF第37页，现金流量表</x:v>
      </x:c>
    </x:row>
    <x:row r="370" ht="32" customHeight="1">
      <x:c r="A370" s="4" t="str">
        <x:v>华夏合肥高新REIT</x:v>
      </x:c>
      <x:c r="B370" s="4" t="str">
        <x:v>2025上半年</x:v>
      </x:c>
      <x:c r="C370" s="4" t="str">
        <x:v>合并</x:v>
      </x:c>
      <x:c r="D370" s="4" t="n">
        <x:v>19</x:v>
      </x:c>
      <x:c r="E370" s="4" t="str">
        <x:v>16.处置子公司及其他营业单位收到的现金净额</x:v>
      </x:c>
      <x:c r="F370" s="8" t="n">
        <x:v>0</x:v>
      </x:c>
      <x:c r="G370" s="8" t="n">
        <x:v>0</x:v>
      </x:c>
      <x:c r="H370" s="4" t="str">
        <x:v>-</x:v>
      </x:c>
      <x:c r="I370" s="4" t="str">
        <x:v>-</x:v>
      </x:c>
      <x:c r="J370" s="4" t="str">
        <x:v>华夏合肥高新REIT_2025中报_20250830.pdf，PDF第37页，现金流量表</x:v>
      </x:c>
    </x:row>
    <x:row r="371" ht="32" customHeight="1">
      <x:c r="A371" s="4" t="str">
        <x:v>华夏合肥高新REIT</x:v>
      </x:c>
      <x:c r="B371" s="4" t="str">
        <x:v>2025上半年</x:v>
      </x:c>
      <x:c r="C371" s="4" t="str">
        <x:v>合并</x:v>
      </x:c>
      <x:c r="D371" s="4" t="n">
        <x:v>20</x:v>
      </x:c>
      <x:c r="E371" s="4" t="str">
        <x:v>17.收到其他与投资活动有关的现金</x:v>
      </x:c>
      <x:c r="F371" s="8" t="n">
        <x:v>12650000</x:v>
      </x:c>
      <x:c r="G371" s="8" t="n">
        <x:v>9000000</x:v>
      </x:c>
      <x:c r="H371" s="4" t="str">
        <x:v>12,650,000.00</x:v>
      </x:c>
      <x:c r="I371" s="4" t="str">
        <x:v>9,000,000.00</x:v>
      </x:c>
      <x:c r="J371" s="4" t="str">
        <x:v>华夏合肥高新REIT_2025中报_20250830.pdf，PDF第37页，现金流量表</x:v>
      </x:c>
    </x:row>
    <x:row r="372" ht="32" customHeight="1">
      <x:c r="A372" s="4" t="str">
        <x:v>华夏合肥高新REIT</x:v>
      </x:c>
      <x:c r="B372" s="4" t="str">
        <x:v>2025上半年</x:v>
      </x:c>
      <x:c r="C372" s="4" t="str">
        <x:v>合并</x:v>
      </x:c>
      <x:c r="D372" s="4" t="n">
        <x:v>21</x:v>
      </x:c>
      <x:c r="E372" s="4" t="str">
        <x:v>投资活动现金流入小计</x:v>
      </x:c>
      <x:c r="F372" s="8" t="n">
        <x:v>12650000</x:v>
      </x:c>
      <x:c r="G372" s="8" t="n">
        <x:v>9000000</x:v>
      </x:c>
      <x:c r="H372" s="4" t="str">
        <x:v>12,650,000.00</x:v>
      </x:c>
      <x:c r="I372" s="4" t="str">
        <x:v>9,000,000.00</x:v>
      </x:c>
      <x:c r="J372" s="4" t="str">
        <x:v>华夏合肥高新REIT_2025中报_20250830.pdf，PDF第37页，现金流量表</x:v>
      </x:c>
    </x:row>
    <x:row r="373" ht="32" customHeight="1">
      <x:c r="A373" s="4" t="str">
        <x:v>华夏合肥高新REIT</x:v>
      </x:c>
      <x:c r="B373" s="4" t="str">
        <x:v>2025上半年</x:v>
      </x:c>
      <x:c r="C373" s="4" t="str">
        <x:v>合并</x:v>
      </x:c>
      <x:c r="D373" s="4" t="n">
        <x:v>22</x:v>
      </x:c>
      <x:c r="E373" s="4" t="str">
        <x:v>18.购建固定资产、无形资产和其他长期资产支付的现金</x:v>
      </x:c>
      <x:c r="F373" s="8" t="n">
        <x:v>0</x:v>
      </x:c>
      <x:c r="G373" s="8" t="n">
        <x:v>0</x:v>
      </x:c>
      <x:c r="H373" s="4" t="str">
        <x:v>-</x:v>
      </x:c>
      <x:c r="I373" s="4" t="str">
        <x:v>-</x:v>
      </x:c>
      <x:c r="J373" s="4" t="str">
        <x:v>华夏合肥高新REIT_2025中报_20250830.pdf，PDF第37页，现金流量表</x:v>
      </x:c>
    </x:row>
    <x:row r="374" ht="32" customHeight="1">
      <x:c r="A374" s="4" t="str">
        <x:v>华夏合肥高新REIT</x:v>
      </x:c>
      <x:c r="B374" s="4" t="str">
        <x:v>2025上半年</x:v>
      </x:c>
      <x:c r="C374" s="4" t="str">
        <x:v>合并</x:v>
      </x:c>
      <x:c r="D374" s="4" t="n">
        <x:v>23</x:v>
      </x:c>
      <x:c r="E374" s="4" t="str">
        <x:v>19.取得子公司及其他营业单位支付的现金净额</x:v>
      </x:c>
      <x:c r="F374" s="8" t="n">
        <x:v>0</x:v>
      </x:c>
      <x:c r="G374" s="8" t="n">
        <x:v>0</x:v>
      </x:c>
      <x:c r="H374" s="4" t="str">
        <x:v>-</x:v>
      </x:c>
      <x:c r="I374" s="4" t="str">
        <x:v>-</x:v>
      </x:c>
      <x:c r="J374" s="4" t="str">
        <x:v>华夏合肥高新REIT_2025中报_20250830.pdf，PDF第37页，现金流量表</x:v>
      </x:c>
    </x:row>
    <x:row r="375" ht="32" customHeight="1">
      <x:c r="A375" s="4" t="str">
        <x:v>华夏合肥高新REIT</x:v>
      </x:c>
      <x:c r="B375" s="4" t="str">
        <x:v>2025上半年</x:v>
      </x:c>
      <x:c r="C375" s="4" t="str">
        <x:v>合并</x:v>
      </x:c>
      <x:c r="D375" s="4" t="n">
        <x:v>24</x:v>
      </x:c>
      <x:c r="E375" s="4" t="str">
        <x:v>20.支付其他与投资活动有关的现金</x:v>
      </x:c>
      <x:c r="F375" s="8" t="n">
        <x:v>0</x:v>
      </x:c>
      <x:c r="G375" s="8" t="n">
        <x:v>0</x:v>
      </x:c>
      <x:c r="H375" s="4" t="str">
        <x:v>-</x:v>
      </x:c>
      <x:c r="I375" s="4" t="str">
        <x:v>-</x:v>
      </x:c>
      <x:c r="J375" s="4" t="str">
        <x:v>华夏合肥高新REIT_2025中报_20250830.pdf，PDF第38页，现金流量表</x:v>
      </x:c>
    </x:row>
    <x:row r="376" ht="32" customHeight="1">
      <x:c r="A376" s="4" t="str">
        <x:v>华夏合肥高新REIT</x:v>
      </x:c>
      <x:c r="B376" s="4" t="str">
        <x:v>2025上半年</x:v>
      </x:c>
      <x:c r="C376" s="4" t="str">
        <x:v>合并</x:v>
      </x:c>
      <x:c r="D376" s="4" t="n">
        <x:v>25</x:v>
      </x:c>
      <x:c r="E376" s="4" t="str">
        <x:v>投资活动现金流出小计</x:v>
      </x:c>
      <x:c r="F376" s="8" t="n">
        <x:v>0</x:v>
      </x:c>
      <x:c r="G376" s="8" t="n">
        <x:v>0</x:v>
      </x:c>
      <x:c r="H376" s="4" t="str">
        <x:v>-</x:v>
      </x:c>
      <x:c r="I376" s="4" t="str">
        <x:v>-</x:v>
      </x:c>
      <x:c r="J376" s="4" t="str">
        <x:v>华夏合肥高新REIT_2025中报_20250830.pdf，PDF第38页，现金流量表</x:v>
      </x:c>
    </x:row>
    <x:row r="377" ht="32" customHeight="1">
      <x:c r="A377" s="4" t="str">
        <x:v>华夏合肥高新REIT</x:v>
      </x:c>
      <x:c r="B377" s="4" t="str">
        <x:v>2025上半年</x:v>
      </x:c>
      <x:c r="C377" s="4" t="str">
        <x:v>合并</x:v>
      </x:c>
      <x:c r="D377" s="4" t="n">
        <x:v>26</x:v>
      </x:c>
      <x:c r="E377" s="4" t="str">
        <x:v>投资活动产生的现金流量净额</x:v>
      </x:c>
      <x:c r="F377" s="8" t="n">
        <x:v>12650000</x:v>
      </x:c>
      <x:c r="G377" s="8" t="n">
        <x:v>9000000</x:v>
      </x:c>
      <x:c r="H377" s="4" t="str">
        <x:v>12,650,000.00</x:v>
      </x:c>
      <x:c r="I377" s="4" t="str">
        <x:v>9,000,000.00</x:v>
      </x:c>
      <x:c r="J377" s="4" t="str">
        <x:v>华夏合肥高新REIT_2025中报_20250830.pdf，PDF第38页，现金流量表</x:v>
      </x:c>
    </x:row>
    <x:row r="378" ht="32" customHeight="1">
      <x:c r="A378" s="4" t="str">
        <x:v>华夏合肥高新REIT</x:v>
      </x:c>
      <x:c r="B378" s="4" t="str">
        <x:v>2025上半年</x:v>
      </x:c>
      <x:c r="C378" s="4" t="str">
        <x:v>合并</x:v>
      </x:c>
      <x:c r="D378" s="4" t="n">
        <x:v>27</x:v>
      </x:c>
      <x:c r="E378" s="4" t="str">
        <x:v>21.认购／申购收到的现金</x:v>
      </x:c>
      <x:c r="F378" s="8" t="n">
        <x:v>0</x:v>
      </x:c>
      <x:c r="G378" s="8" t="n">
        <x:v>0</x:v>
      </x:c>
      <x:c r="H378" s="4" t="str">
        <x:v>-</x:v>
      </x:c>
      <x:c r="I378" s="4" t="str">
        <x:v>-</x:v>
      </x:c>
      <x:c r="J378" s="4" t="str">
        <x:v>华夏合肥高新REIT_2025中报_20250830.pdf，PDF第38页，现金流量表</x:v>
      </x:c>
    </x:row>
    <x:row r="379" ht="32" customHeight="1">
      <x:c r="A379" s="4" t="str">
        <x:v>华夏合肥高新REIT</x:v>
      </x:c>
      <x:c r="B379" s="4" t="str">
        <x:v>2025上半年</x:v>
      </x:c>
      <x:c r="C379" s="4" t="str">
        <x:v>合并</x:v>
      </x:c>
      <x:c r="D379" s="4" t="n">
        <x:v>28</x:v>
      </x:c>
      <x:c r="E379" s="4" t="str">
        <x:v>22.取得借款收到的现金</x:v>
      </x:c>
      <x:c r="F379" s="8" t="n">
        <x:v>0</x:v>
      </x:c>
      <x:c r="G379" s="8" t="n">
        <x:v>0</x:v>
      </x:c>
      <x:c r="H379" s="4" t="str">
        <x:v>-</x:v>
      </x:c>
      <x:c r="I379" s="4" t="str">
        <x:v>-</x:v>
      </x:c>
      <x:c r="J379" s="4" t="str">
        <x:v>华夏合肥高新REIT_2025中报_20250830.pdf，PDF第38页，现金流量表</x:v>
      </x:c>
    </x:row>
    <x:row r="380" ht="32" customHeight="1">
      <x:c r="A380" s="4" t="str">
        <x:v>华夏合肥高新REIT</x:v>
      </x:c>
      <x:c r="B380" s="4" t="str">
        <x:v>2025上半年</x:v>
      </x:c>
      <x:c r="C380" s="4" t="str">
        <x:v>合并</x:v>
      </x:c>
      <x:c r="D380" s="4" t="n">
        <x:v>29</x:v>
      </x:c>
      <x:c r="E380" s="4" t="str">
        <x:v>23.收到其他与筹资活动有关的现金</x:v>
      </x:c>
      <x:c r="F380" s="8" t="n">
        <x:v>0</x:v>
      </x:c>
      <x:c r="G380" s="8" t="n">
        <x:v>0</x:v>
      </x:c>
      <x:c r="H380" s="4" t="str">
        <x:v>-</x:v>
      </x:c>
      <x:c r="I380" s="4" t="str">
        <x:v>-</x:v>
      </x:c>
      <x:c r="J380" s="4" t="str">
        <x:v>华夏合肥高新REIT_2025中报_20250830.pdf，PDF第38页，现金流量表</x:v>
      </x:c>
    </x:row>
    <x:row r="381" ht="32" customHeight="1">
      <x:c r="A381" s="4" t="str">
        <x:v>华夏合肥高新REIT</x:v>
      </x:c>
      <x:c r="B381" s="4" t="str">
        <x:v>2025上半年</x:v>
      </x:c>
      <x:c r="C381" s="4" t="str">
        <x:v>合并</x:v>
      </x:c>
      <x:c r="D381" s="4" t="n">
        <x:v>30</x:v>
      </x:c>
      <x:c r="E381" s="4" t="str">
        <x:v>筹资活动现金流入小计</x:v>
      </x:c>
      <x:c r="F381" s="8" t="n">
        <x:v>0</x:v>
      </x:c>
      <x:c r="G381" s="8" t="n">
        <x:v>0</x:v>
      </x:c>
      <x:c r="H381" s="4" t="str">
        <x:v>-</x:v>
      </x:c>
      <x:c r="I381" s="4" t="str">
        <x:v>-</x:v>
      </x:c>
      <x:c r="J381" s="4" t="str">
        <x:v>华夏合肥高新REIT_2025中报_20250830.pdf，PDF第38页，现金流量表</x:v>
      </x:c>
    </x:row>
    <x:row r="382" ht="32" customHeight="1">
      <x:c r="A382" s="4" t="str">
        <x:v>华夏合肥高新REIT</x:v>
      </x:c>
      <x:c r="B382" s="4" t="str">
        <x:v>2025上半年</x:v>
      </x:c>
      <x:c r="C382" s="4" t="str">
        <x:v>合并</x:v>
      </x:c>
      <x:c r="D382" s="4" t="n">
        <x:v>31</x:v>
      </x:c>
      <x:c r="E382" s="4" t="str">
        <x:v>24.赎回支付的现金</x:v>
      </x:c>
      <x:c r="F382" s="8" t="n">
        <x:v>0</x:v>
      </x:c>
      <x:c r="G382" s="8" t="n">
        <x:v>0</x:v>
      </x:c>
      <x:c r="H382" s="4" t="str">
        <x:v>-</x:v>
      </x:c>
      <x:c r="I382" s="4" t="str">
        <x:v>-</x:v>
      </x:c>
      <x:c r="J382" s="4" t="str">
        <x:v>华夏合肥高新REIT_2025中报_20250830.pdf，PDF第38页，现金流量表</x:v>
      </x:c>
    </x:row>
    <x:row r="383" ht="32" customHeight="1">
      <x:c r="A383" s="4" t="str">
        <x:v>华夏合肥高新REIT</x:v>
      </x:c>
      <x:c r="B383" s="4" t="str">
        <x:v>2025上半年</x:v>
      </x:c>
      <x:c r="C383" s="4" t="str">
        <x:v>合并</x:v>
      </x:c>
      <x:c r="D383" s="4" t="n">
        <x:v>32</x:v>
      </x:c>
      <x:c r="E383" s="4" t="str">
        <x:v>25.偿还借款支付的现金</x:v>
      </x:c>
      <x:c r="F383" s="8" t="n">
        <x:v>0</x:v>
      </x:c>
      <x:c r="G383" s="8" t="n">
        <x:v>0</x:v>
      </x:c>
      <x:c r="H383" s="4" t="str">
        <x:v>-</x:v>
      </x:c>
      <x:c r="I383" s="4" t="str">
        <x:v>-</x:v>
      </x:c>
      <x:c r="J383" s="4" t="str">
        <x:v>华夏合肥高新REIT_2025中报_20250830.pdf，PDF第38页，现金流量表</x:v>
      </x:c>
    </x:row>
    <x:row r="384" ht="32" customHeight="1">
      <x:c r="A384" s="4" t="str">
        <x:v>华夏合肥高新REIT</x:v>
      </x:c>
      <x:c r="B384" s="4" t="str">
        <x:v>2025上半年</x:v>
      </x:c>
      <x:c r="C384" s="4" t="str">
        <x:v>合并</x:v>
      </x:c>
      <x:c r="D384" s="4" t="n">
        <x:v>33</x:v>
      </x:c>
      <x:c r="E384" s="4" t="str">
        <x:v>26.偿付利息支付的现金</x:v>
      </x:c>
      <x:c r="F384" s="8" t="n">
        <x:v>0</x:v>
      </x:c>
      <x:c r="G384" s="8" t="n">
        <x:v>0</x:v>
      </x:c>
      <x:c r="H384" s="4" t="str">
        <x:v>-</x:v>
      </x:c>
      <x:c r="I384" s="4" t="str">
        <x:v>-</x:v>
      </x:c>
      <x:c r="J384" s="4" t="str">
        <x:v>华夏合肥高新REIT_2025中报_20250830.pdf，PDF第38页，现金流量表</x:v>
      </x:c>
    </x:row>
    <x:row r="385" ht="32" customHeight="1">
      <x:c r="A385" s="4" t="str">
        <x:v>华夏合肥高新REIT</x:v>
      </x:c>
      <x:c r="B385" s="4" t="str">
        <x:v>2025上半年</x:v>
      </x:c>
      <x:c r="C385" s="4" t="str">
        <x:v>合并</x:v>
      </x:c>
      <x:c r="D385" s="4" t="n">
        <x:v>34</x:v>
      </x:c>
      <x:c r="E385" s="4" t="str">
        <x:v>27.分配支付的现金</x:v>
      </x:c>
      <x:c r="F385" s="8" t="n">
        <x:v>36028853.55</x:v>
      </x:c>
      <x:c r="G385" s="8" t="n">
        <x:v>57371708.04</x:v>
      </x:c>
      <x:c r="H385" s="4" t="str">
        <x:v>36,028,853.55</x:v>
      </x:c>
      <x:c r="I385" s="4" t="str">
        <x:v>57,371,708.04</x:v>
      </x:c>
      <x:c r="J385" s="4" t="str">
        <x:v>华夏合肥高新REIT_2025中报_20250830.pdf，PDF第38页，现金流量表</x:v>
      </x:c>
    </x:row>
    <x:row r="386" ht="32" customHeight="1">
      <x:c r="A386" s="4" t="str">
        <x:v>华夏合肥高新REIT</x:v>
      </x:c>
      <x:c r="B386" s="4" t="str">
        <x:v>2025上半年</x:v>
      </x:c>
      <x:c r="C386" s="4" t="str">
        <x:v>合并</x:v>
      </x:c>
      <x:c r="D386" s="4" t="n">
        <x:v>35</x:v>
      </x:c>
      <x:c r="E386" s="4" t="str">
        <x:v>28.支付其他与筹资活动有关的现金</x:v>
      </x:c>
      <x:c r="F386" s="8" t="n">
        <x:v>0</x:v>
      </x:c>
      <x:c r="G386" s="8" t="n">
        <x:v>0</x:v>
      </x:c>
      <x:c r="H386" s="4" t="str">
        <x:v>-</x:v>
      </x:c>
      <x:c r="I386" s="4" t="str">
        <x:v>-</x:v>
      </x:c>
      <x:c r="J386" s="4" t="str">
        <x:v>华夏合肥高新REIT_2025中报_20250830.pdf，PDF第38页，现金流量表</x:v>
      </x:c>
    </x:row>
    <x:row r="387" ht="32" customHeight="1">
      <x:c r="A387" s="4" t="str">
        <x:v>华夏合肥高新REIT</x:v>
      </x:c>
      <x:c r="B387" s="4" t="str">
        <x:v>2025上半年</x:v>
      </x:c>
      <x:c r="C387" s="4" t="str">
        <x:v>合并</x:v>
      </x:c>
      <x:c r="D387" s="4" t="n">
        <x:v>36</x:v>
      </x:c>
      <x:c r="E387" s="4" t="str">
        <x:v>筹资活动现金流出小计</x:v>
      </x:c>
      <x:c r="F387" s="8" t="n">
        <x:v>36028853.55</x:v>
      </x:c>
      <x:c r="G387" s="8" t="n">
        <x:v>57371708.04</x:v>
      </x:c>
      <x:c r="H387" s="4" t="str">
        <x:v>36,028,853.55</x:v>
      </x:c>
      <x:c r="I387" s="4" t="str">
        <x:v>57,371,708.04</x:v>
      </x:c>
      <x:c r="J387" s="4" t="str">
        <x:v>华夏合肥高新REIT_2025中报_20250830.pdf，PDF第38页，现金流量表</x:v>
      </x:c>
    </x:row>
    <x:row r="388" ht="32" customHeight="1">
      <x:c r="A388" s="4" t="str">
        <x:v>华夏合肥高新REIT</x:v>
      </x:c>
      <x:c r="B388" s="4" t="str">
        <x:v>2025上半年</x:v>
      </x:c>
      <x:c r="C388" s="4" t="str">
        <x:v>合并</x:v>
      </x:c>
      <x:c r="D388" s="4" t="n">
        <x:v>37</x:v>
      </x:c>
      <x:c r="E388" s="4" t="str">
        <x:v>筹资活动产生的现金流量净额</x:v>
      </x:c>
      <x:c r="F388" s="8" t="n">
        <x:v>-36028853.55</x:v>
      </x:c>
      <x:c r="G388" s="8" t="n">
        <x:v>-57371708.04</x:v>
      </x:c>
      <x:c r="H388" s="4" t="str">
        <x:v>-36,028,853.55</x:v>
      </x:c>
      <x:c r="I388" s="4" t="str">
        <x:v>-57,371,708.04</x:v>
      </x:c>
      <x:c r="J388" s="4" t="str">
        <x:v>华夏合肥高新REIT_2025中报_20250830.pdf，PDF第38页，现金流量表</x:v>
      </x:c>
    </x:row>
    <x:row r="389" ht="32" customHeight="1">
      <x:c r="A389" s="4" t="str">
        <x:v>华夏合肥高新REIT</x:v>
      </x:c>
      <x:c r="B389" s="4" t="str">
        <x:v>2025上半年</x:v>
      </x:c>
      <x:c r="C389" s="4" t="str">
        <x:v>合并</x:v>
      </x:c>
      <x:c r="D389" s="4" t="n">
        <x:v>38</x:v>
      </x:c>
      <x:c r="E389" s="4" t="str">
        <x:v>四、汇率变动对现金及现金等价物的影响</x:v>
      </x:c>
      <x:c r="F389" s="8" t="n">
        <x:v>0</x:v>
      </x:c>
      <x:c r="G389" s="8" t="n">
        <x:v>0</x:v>
      </x:c>
      <x:c r="H389" s="4" t="str">
        <x:v>-</x:v>
      </x:c>
      <x:c r="I389" s="4" t="str">
        <x:v>-</x:v>
      </x:c>
      <x:c r="J389" s="4" t="str">
        <x:v>华夏合肥高新REIT_2025中报_20250830.pdf，PDF第38页，现金流量表</x:v>
      </x:c>
    </x:row>
    <x:row r="390" ht="32" customHeight="1">
      <x:c r="A390" s="4" t="str">
        <x:v>华夏合肥高新REIT</x:v>
      </x:c>
      <x:c r="B390" s="4" t="str">
        <x:v>2025上半年</x:v>
      </x:c>
      <x:c r="C390" s="4" t="str">
        <x:v>合并</x:v>
      </x:c>
      <x:c r="D390" s="4" t="n">
        <x:v>39</x:v>
      </x:c>
      <x:c r="E390" s="4" t="str">
        <x:v>五、现金及现金等价物净增加额</x:v>
      </x:c>
      <x:c r="F390" s="8" t="n">
        <x:v>-5267231.25</x:v>
      </x:c>
      <x:c r="G390" s="8" t="n">
        <x:v>-27588550.22</x:v>
      </x:c>
      <x:c r="H390" s="4" t="str">
        <x:v>-5,267,231.25</x:v>
      </x:c>
      <x:c r="I390" s="4" t="str">
        <x:v>-27,588,550.22</x:v>
      </x:c>
      <x:c r="J390" s="4" t="str">
        <x:v>华夏合肥高新REIT_2025中报_20250830.pdf，PDF第38页，现金流量表</x:v>
      </x:c>
    </x:row>
    <x:row r="391" ht="32" customHeight="1">
      <x:c r="A391" s="4" t="str">
        <x:v>华夏合肥高新REIT</x:v>
      </x:c>
      <x:c r="B391" s="4" t="str">
        <x:v>2025上半年</x:v>
      </x:c>
      <x:c r="C391" s="4" t="str">
        <x:v>合并</x:v>
      </x:c>
      <x:c r="D391" s="4" t="n">
        <x:v>40</x:v>
      </x:c>
      <x:c r="E391" s="4" t="str">
        <x:v>加：期初现金及现金等价物余额</x:v>
      </x:c>
      <x:c r="F391" s="8" t="n">
        <x:v>41979036.31</x:v>
      </x:c>
      <x:c r="G391" s="8" t="n">
        <x:v>55322724.14</x:v>
      </x:c>
      <x:c r="H391" s="4" t="str">
        <x:v>41,979,036.31</x:v>
      </x:c>
      <x:c r="I391" s="4" t="str">
        <x:v>55,322,724.14</x:v>
      </x:c>
      <x:c r="J391" s="4" t="str">
        <x:v>华夏合肥高新REIT_2025中报_20250830.pdf，PDF第38页，现金流量表</x:v>
      </x:c>
    </x:row>
    <x:row r="392" ht="32" customHeight="1">
      <x:c r="A392" s="4" t="str">
        <x:v>华夏合肥高新REIT</x:v>
      </x:c>
      <x:c r="B392" s="4" t="str">
        <x:v>2025上半年</x:v>
      </x:c>
      <x:c r="C392" s="4" t="str">
        <x:v>合并</x:v>
      </x:c>
      <x:c r="D392" s="4" t="n">
        <x:v>41</x:v>
      </x:c>
      <x:c r="E392" s="4" t="str">
        <x:v>六、期末现金及现金等价物余额</x:v>
      </x:c>
      <x:c r="F392" s="8" t="n">
        <x:v>36711805.06</x:v>
      </x:c>
      <x:c r="G392" s="8" t="n">
        <x:v>27734173.92</x:v>
      </x:c>
      <x:c r="H392" s="4" t="str">
        <x:v>36,711,805.06</x:v>
      </x:c>
      <x:c r="I392" s="4" t="str">
        <x:v>27,734,173.92</x:v>
      </x:c>
      <x:c r="J392" s="4" t="str">
        <x:v>华夏合肥高新REIT_2025中报_20250830.pdf，PDF第38页，现金流量表</x:v>
      </x:c>
    </x:row>
    <x:row r="393" ht="32" customHeight="1">
      <x:c r="A393" s="4" t="str">
        <x:v>华夏合肥高新REIT</x:v>
      </x:c>
      <x:c r="B393" s="4" t="str">
        <x:v>2025上半年</x:v>
      </x:c>
      <x:c r="C393" s="4" t="str">
        <x:v>基金个别</x:v>
      </x:c>
      <x:c r="D393" s="4" t="n">
        <x:v>1</x:v>
      </x:c>
      <x:c r="E393" s="4" t="str">
        <x:v>1.收回基础设施投资收到的现金</x:v>
      </x:c>
      <x:c r="F393" s="8" t="n">
        <x:v>0</x:v>
      </x:c>
      <x:c r="G393" s="8" t="n">
        <x:v>0</x:v>
      </x:c>
      <x:c r="H393" s="4" t="str">
        <x:v>-</x:v>
      </x:c>
      <x:c r="I393" s="4" t="str">
        <x:v>-</x:v>
      </x:c>
      <x:c r="J393" s="4" t="str">
        <x:v>华夏合肥高新REIT_2025中报_20250830.pdf，PDF第38页，现金流量表</x:v>
      </x:c>
    </x:row>
    <x:row r="394" ht="32" customHeight="1">
      <x:c r="A394" s="4" t="str">
        <x:v>华夏合肥高新REIT</x:v>
      </x:c>
      <x:c r="B394" s="4" t="str">
        <x:v>2025上半年</x:v>
      </x:c>
      <x:c r="C394" s="4" t="str">
        <x:v>基金个别</x:v>
      </x:c>
      <x:c r="D394" s="4" t="n">
        <x:v>2</x:v>
      </x:c>
      <x:c r="E394" s="4" t="str">
        <x:v>2.取得基础设施投资收益收到的现金</x:v>
      </x:c>
      <x:c r="F394" s="8" t="n">
        <x:v>37300000.51</x:v>
      </x:c>
      <x:c r="G394" s="8" t="n">
        <x:v>59800000.21</x:v>
      </x:c>
      <x:c r="H394" s="4" t="str">
        <x:v>37,300,000.51</x:v>
      </x:c>
      <x:c r="I394" s="4" t="str">
        <x:v>59,800,000.21</x:v>
      </x:c>
      <x:c r="J394" s="4" t="str">
        <x:v>华夏合肥高新REIT_2025中报_20250830.pdf，PDF第38页，现金流量表</x:v>
      </x:c>
    </x:row>
    <x:row r="395" ht="32" customHeight="1">
      <x:c r="A395" s="4" t="str">
        <x:v>华夏合肥高新REIT</x:v>
      </x:c>
      <x:c r="B395" s="4" t="str">
        <x:v>2025上半年</x:v>
      </x:c>
      <x:c r="C395" s="4" t="str">
        <x:v>基金个别</x:v>
      </x:c>
      <x:c r="D395" s="4" t="n">
        <x:v>3</x:v>
      </x:c>
      <x:c r="E395" s="4" t="str">
        <x:v>3.处置证券投资收到的现金净额</x:v>
      </x:c>
      <x:c r="F395" s="8" t="n">
        <x:v>0</x:v>
      </x:c>
      <x:c r="G395" s="8" t="n">
        <x:v>0</x:v>
      </x:c>
      <x:c r="H395" s="4" t="str">
        <x:v>-</x:v>
      </x:c>
      <x:c r="I395" s="4" t="str">
        <x:v>-</x:v>
      </x:c>
      <x:c r="J395" s="4" t="str">
        <x:v>华夏合肥高新REIT_2025中报_20250830.pdf，PDF第38页，现金流量表</x:v>
      </x:c>
    </x:row>
    <x:row r="396" ht="32" customHeight="1">
      <x:c r="A396" s="4" t="str">
        <x:v>华夏合肥高新REIT</x:v>
      </x:c>
      <x:c r="B396" s="4" t="str">
        <x:v>2025上半年</x:v>
      </x:c>
      <x:c r="C396" s="4" t="str">
        <x:v>基金个别</x:v>
      </x:c>
      <x:c r="D396" s="4" t="n">
        <x:v>4</x:v>
      </x:c>
      <x:c r="E396" s="4" t="str">
        <x:v>4.买入返售金融资产净减少额</x:v>
      </x:c>
      <x:c r="F396" s="8" t="n">
        <x:v>0</x:v>
      </x:c>
      <x:c r="G396" s="8" t="n">
        <x:v>0</x:v>
      </x:c>
      <x:c r="H396" s="4" t="str">
        <x:v>-</x:v>
      </x:c>
      <x:c r="I396" s="4" t="str">
        <x:v>-</x:v>
      </x:c>
      <x:c r="J396" s="4" t="str">
        <x:v>华夏合肥高新REIT_2025中报_20250830.pdf，PDF第38页，现金流量表</x:v>
      </x:c>
    </x:row>
    <x:row r="397" ht="32" customHeight="1">
      <x:c r="A397" s="4" t="str">
        <x:v>华夏合肥高新REIT</x:v>
      </x:c>
      <x:c r="B397" s="4" t="str">
        <x:v>2025上半年</x:v>
      </x:c>
      <x:c r="C397" s="4" t="str">
        <x:v>基金个别</x:v>
      </x:c>
      <x:c r="D397" s="4" t="n">
        <x:v>5</x:v>
      </x:c>
      <x:c r="E397" s="4" t="str">
        <x:v>5.卖出回购金融资产款净增加额</x:v>
      </x:c>
      <x:c r="F397" s="8" t="n">
        <x:v>0</x:v>
      </x:c>
      <x:c r="G397" s="8" t="n">
        <x:v>0</x:v>
      </x:c>
      <x:c r="H397" s="4" t="str">
        <x:v>-</x:v>
      </x:c>
      <x:c r="I397" s="4" t="str">
        <x:v>-</x:v>
      </x:c>
      <x:c r="J397" s="4" t="str">
        <x:v>华夏合肥高新REIT_2025中报_20250830.pdf，PDF第38页，现金流量表</x:v>
      </x:c>
    </x:row>
    <x:row r="398" ht="32" customHeight="1">
      <x:c r="A398" s="4" t="str">
        <x:v>华夏合肥高新REIT</x:v>
      </x:c>
      <x:c r="B398" s="4" t="str">
        <x:v>2025上半年</x:v>
      </x:c>
      <x:c r="C398" s="4" t="str">
        <x:v>基金个别</x:v>
      </x:c>
      <x:c r="D398" s="4" t="n">
        <x:v>6</x:v>
      </x:c>
      <x:c r="E398" s="4" t="str">
        <x:v>6.取得利息收入收到的现金</x:v>
      </x:c>
      <x:c r="F398" s="8" t="n">
        <x:v>12886.06</x:v>
      </x:c>
      <x:c r="G398" s="8" t="n">
        <x:v>13834.83</x:v>
      </x:c>
      <x:c r="H398" s="4" t="str">
        <x:v>12,886.06</x:v>
      </x:c>
      <x:c r="I398" s="4" t="str">
        <x:v>13,834.83</x:v>
      </x:c>
      <x:c r="J398" s="4" t="str">
        <x:v>华夏合肥高新REIT_2025中报_20250830.pdf，PDF第38页，现金流量表</x:v>
      </x:c>
    </x:row>
    <x:row r="399" ht="32" customHeight="1">
      <x:c r="A399" s="4" t="str">
        <x:v>华夏合肥高新REIT</x:v>
      </x:c>
      <x:c r="B399" s="4" t="str">
        <x:v>2025上半年</x:v>
      </x:c>
      <x:c r="C399" s="4" t="str">
        <x:v>基金个别</x:v>
      </x:c>
      <x:c r="D399" s="4" t="n">
        <x:v>7</x:v>
      </x:c>
      <x:c r="E399" s="4" t="str">
        <x:v>7.收到其他与经营活动有关的现金</x:v>
      </x:c>
      <x:c r="F399" s="8" t="n">
        <x:v>0</x:v>
      </x:c>
      <x:c r="G399" s="8" t="n">
        <x:v>0</x:v>
      </x:c>
      <x:c r="H399" s="4" t="str">
        <x:v>-</x:v>
      </x:c>
      <x:c r="I399" s="4" t="str">
        <x:v>-</x:v>
      </x:c>
      <x:c r="J399" s="4" t="str">
        <x:v>华夏合肥高新REIT_2025中报_20250830.pdf，PDF第38页，现金流量表</x:v>
      </x:c>
    </x:row>
    <x:row r="400" ht="32" customHeight="1">
      <x:c r="A400" s="4" t="str">
        <x:v>华夏合肥高新REIT</x:v>
      </x:c>
      <x:c r="B400" s="4" t="str">
        <x:v>2025上半年</x:v>
      </x:c>
      <x:c r="C400" s="4" t="str">
        <x:v>基金个别</x:v>
      </x:c>
      <x:c r="D400" s="4" t="n">
        <x:v>8</x:v>
      </x:c>
      <x:c r="E400" s="4" t="str">
        <x:v>经营活动现金流入小计</x:v>
      </x:c>
      <x:c r="F400" s="8" t="n">
        <x:v>37312886.57</x:v>
      </x:c>
      <x:c r="G400" s="8" t="n">
        <x:v>59813835.04</x:v>
      </x:c>
      <x:c r="H400" s="4" t="str">
        <x:v>37,312,886.57</x:v>
      </x:c>
      <x:c r="I400" s="4" t="str">
        <x:v>59,813,835.04</x:v>
      </x:c>
      <x:c r="J400" s="4" t="str">
        <x:v>华夏合肥高新REIT_2025中报_20250830.pdf，PDF第38页，现金流量表</x:v>
      </x:c>
    </x:row>
    <x:row r="401" ht="32" customHeight="1">
      <x:c r="A401" s="4" t="str">
        <x:v>华夏合肥高新REIT</x:v>
      </x:c>
      <x:c r="B401" s="4" t="str">
        <x:v>2025上半年</x:v>
      </x:c>
      <x:c r="C401" s="4" t="str">
        <x:v>基金个别</x:v>
      </x:c>
      <x:c r="D401" s="4" t="n">
        <x:v>9</x:v>
      </x:c>
      <x:c r="E401" s="4" t="str">
        <x:v>8.取得基础设施投资支付的现金</x:v>
      </x:c>
      <x:c r="F401" s="8" t="n">
        <x:v>0</x:v>
      </x:c>
      <x:c r="G401" s="8" t="n">
        <x:v>0</x:v>
      </x:c>
      <x:c r="H401" s="4" t="str">
        <x:v>-</x:v>
      </x:c>
      <x:c r="I401" s="4" t="str">
        <x:v>-</x:v>
      </x:c>
      <x:c r="J401" s="4" t="str">
        <x:v>华夏合肥高新REIT_2025中报_20250830.pdf，PDF第38页，现金流量表</x:v>
      </x:c>
    </x:row>
    <x:row r="402" ht="32" customHeight="1">
      <x:c r="A402" s="4" t="str">
        <x:v>华夏合肥高新REIT</x:v>
      </x:c>
      <x:c r="B402" s="4" t="str">
        <x:v>2025上半年</x:v>
      </x:c>
      <x:c r="C402" s="4" t="str">
        <x:v>基金个别</x:v>
      </x:c>
      <x:c r="D402" s="4" t="n">
        <x:v>10</x:v>
      </x:c>
      <x:c r="E402" s="4" t="str">
        <x:v>9.取得证券投资支付的现金净额</x:v>
      </x:c>
      <x:c r="F402" s="8" t="n">
        <x:v>0</x:v>
      </x:c>
      <x:c r="G402" s="8" t="n">
        <x:v>0</x:v>
      </x:c>
      <x:c r="H402" s="4" t="str">
        <x:v>-</x:v>
      </x:c>
      <x:c r="I402" s="4" t="str">
        <x:v>-</x:v>
      </x:c>
      <x:c r="J402" s="4" t="str">
        <x:v>华夏合肥高新REIT_2025中报_20250830.pdf，PDF第38页，现金流量表</x:v>
      </x:c>
    </x:row>
    <x:row r="403" ht="32" customHeight="1">
      <x:c r="A403" s="4" t="str">
        <x:v>华夏合肥高新REIT</x:v>
      </x:c>
      <x:c r="B403" s="4" t="str">
        <x:v>2025上半年</x:v>
      </x:c>
      <x:c r="C403" s="4" t="str">
        <x:v>基金个别</x:v>
      </x:c>
      <x:c r="D403" s="4" t="n">
        <x:v>11</x:v>
      </x:c>
      <x:c r="E403" s="4" t="str">
        <x:v>10.买入返售金融资产净增加额</x:v>
      </x:c>
      <x:c r="F403" s="8" t="n">
        <x:v>0</x:v>
      </x:c>
      <x:c r="G403" s="8" t="n">
        <x:v>0</x:v>
      </x:c>
      <x:c r="H403" s="4" t="str">
        <x:v>-</x:v>
      </x:c>
      <x:c r="I403" s="4" t="str">
        <x:v>-</x:v>
      </x:c>
      <x:c r="J403" s="4" t="str">
        <x:v>华夏合肥高新REIT_2025中报_20250830.pdf，PDF第38页，现金流量表</x:v>
      </x:c>
    </x:row>
    <x:row r="404" ht="32" customHeight="1">
      <x:c r="A404" s="4" t="str">
        <x:v>华夏合肥高新REIT</x:v>
      </x:c>
      <x:c r="B404" s="4" t="str">
        <x:v>2025上半年</x:v>
      </x:c>
      <x:c r="C404" s="4" t="str">
        <x:v>基金个别</x:v>
      </x:c>
      <x:c r="D404" s="4" t="n">
        <x:v>12</x:v>
      </x:c>
      <x:c r="E404" s="4" t="str">
        <x:v>11.卖出回购金融资产款净减少额</x:v>
      </x:c>
      <x:c r="F404" s="8" t="n">
        <x:v>0</x:v>
      </x:c>
      <x:c r="G404" s="8" t="n">
        <x:v>0</x:v>
      </x:c>
      <x:c r="H404" s="4" t="str">
        <x:v>-</x:v>
      </x:c>
      <x:c r="I404" s="4" t="str">
        <x:v>-</x:v>
      </x:c>
      <x:c r="J404" s="4" t="str">
        <x:v>华夏合肥高新REIT_2025中报_20250830.pdf，PDF第38页，现金流量表</x:v>
      </x:c>
    </x:row>
    <x:row r="405" ht="32" customHeight="1">
      <x:c r="A405" s="4" t="str">
        <x:v>华夏合肥高新REIT</x:v>
      </x:c>
      <x:c r="B405" s="4" t="str">
        <x:v>2025上半年</x:v>
      </x:c>
      <x:c r="C405" s="4" t="str">
        <x:v>基金个别</x:v>
      </x:c>
      <x:c r="D405" s="4" t="n">
        <x:v>13</x:v>
      </x:c>
      <x:c r="E405" s="4" t="str">
        <x:v>12.支付的各项税费</x:v>
      </x:c>
      <x:c r="F405" s="8" t="n">
        <x:v>0</x:v>
      </x:c>
      <x:c r="G405" s="8" t="n">
        <x:v>0</x:v>
      </x:c>
      <x:c r="H405" s="4" t="str">
        <x:v>-</x:v>
      </x:c>
      <x:c r="I405" s="4" t="str">
        <x:v>-</x:v>
      </x:c>
      <x:c r="J405" s="4" t="str">
        <x:v>华夏合肥高新REIT_2025中报_20250830.pdf，PDF第38页，现金流量表</x:v>
      </x:c>
    </x:row>
    <x:row r="406" ht="32" customHeight="1">
      <x:c r="A406" s="4" t="str">
        <x:v>华夏合肥高新REIT</x:v>
      </x:c>
      <x:c r="B406" s="4" t="str">
        <x:v>2025上半年</x:v>
      </x:c>
      <x:c r="C406" s="4" t="str">
        <x:v>基金个别</x:v>
      </x:c>
      <x:c r="D406" s="4" t="n">
        <x:v>14</x:v>
      </x:c>
      <x:c r="E406" s="4" t="str">
        <x:v>13.支付其他与经营活动有关的现金</x:v>
      </x:c>
      <x:c r="F406" s="8" t="n">
        <x:v>3953232.9</x:v>
      </x:c>
      <x:c r="G406" s="8" t="n">
        <x:v>4030000.01</x:v>
      </x:c>
      <x:c r="H406" s="4" t="str">
        <x:v>3,953,232.90</x:v>
      </x:c>
      <x:c r="I406" s="4" t="str">
        <x:v>4,030,000.01</x:v>
      </x:c>
      <x:c r="J406" s="4" t="str">
        <x:v>华夏合肥高新REIT_2025中报_20250830.pdf，PDF第39页，现金流量表</x:v>
      </x:c>
    </x:row>
    <x:row r="407" ht="32" customHeight="1">
      <x:c r="A407" s="4" t="str">
        <x:v>华夏合肥高新REIT</x:v>
      </x:c>
      <x:c r="B407" s="4" t="str">
        <x:v>2025上半年</x:v>
      </x:c>
      <x:c r="C407" s="4" t="str">
        <x:v>基金个别</x:v>
      </x:c>
      <x:c r="D407" s="4" t="n">
        <x:v>15</x:v>
      </x:c>
      <x:c r="E407" s="4" t="str">
        <x:v>经营活动现金流出小计</x:v>
      </x:c>
      <x:c r="F407" s="8" t="n">
        <x:v>3953232.9</x:v>
      </x:c>
      <x:c r="G407" s="8" t="n">
        <x:v>4030000.01</x:v>
      </x:c>
      <x:c r="H407" s="4" t="str">
        <x:v>3,953,232.90</x:v>
      </x:c>
      <x:c r="I407" s="4" t="str">
        <x:v>4,030,000.01</x:v>
      </x:c>
      <x:c r="J407" s="4" t="str">
        <x:v>华夏合肥高新REIT_2025中报_20250830.pdf，PDF第39页，现金流量表</x:v>
      </x:c>
    </x:row>
    <x:row r="408" ht="32" customHeight="1">
      <x:c r="A408" s="4" t="str">
        <x:v>华夏合肥高新REIT</x:v>
      </x:c>
      <x:c r="B408" s="4" t="str">
        <x:v>2025上半年</x:v>
      </x:c>
      <x:c r="C408" s="4" t="str">
        <x:v>基金个别</x:v>
      </x:c>
      <x:c r="D408" s="4" t="n">
        <x:v>16</x:v>
      </x:c>
      <x:c r="E408" s="4" t="str">
        <x:v>经营活动产生的现金流量净额</x:v>
      </x:c>
      <x:c r="F408" s="8" t="n">
        <x:v>33359653.67</x:v>
      </x:c>
      <x:c r="G408" s="8" t="n">
        <x:v>55783835.03</x:v>
      </x:c>
      <x:c r="H408" s="4" t="str">
        <x:v>33,359,653.67</x:v>
      </x:c>
      <x:c r="I408" s="4" t="str">
        <x:v>55,783,835.03</x:v>
      </x:c>
      <x:c r="J408" s="4" t="str">
        <x:v>华夏合肥高新REIT_2025中报_20250830.pdf，PDF第39页，现金流量表</x:v>
      </x:c>
    </x:row>
    <x:row r="409" ht="32" customHeight="1">
      <x:c r="A409" s="4" t="str">
        <x:v>华夏合肥高新REIT</x:v>
      </x:c>
      <x:c r="B409" s="4" t="str">
        <x:v>2025上半年</x:v>
      </x:c>
      <x:c r="C409" s="4" t="str">
        <x:v>基金个别</x:v>
      </x:c>
      <x:c r="D409" s="4" t="n">
        <x:v>17</x:v>
      </x:c>
      <x:c r="E409" s="4" t="str">
        <x:v>14.认购／申购收到的现金</x:v>
      </x:c>
      <x:c r="F409" s="8" t="n">
        <x:v>0</x:v>
      </x:c>
      <x:c r="G409" s="8" t="n">
        <x:v>0</x:v>
      </x:c>
      <x:c r="H409" s="4" t="str">
        <x:v>-</x:v>
      </x:c>
      <x:c r="I409" s="4" t="str">
        <x:v>-</x:v>
      </x:c>
      <x:c r="J409" s="4" t="str">
        <x:v>华夏合肥高新REIT_2025中报_20250830.pdf，PDF第39页，现金流量表</x:v>
      </x:c>
    </x:row>
    <x:row r="410" ht="32" customHeight="1">
      <x:c r="A410" s="4" t="str">
        <x:v>华夏合肥高新REIT</x:v>
      </x:c>
      <x:c r="B410" s="4" t="str">
        <x:v>2025上半年</x:v>
      </x:c>
      <x:c r="C410" s="4" t="str">
        <x:v>基金个别</x:v>
      </x:c>
      <x:c r="D410" s="4" t="n">
        <x:v>18</x:v>
      </x:c>
      <x:c r="E410" s="4" t="str">
        <x:v>15.收到其他与筹资活动有关的现金</x:v>
      </x:c>
      <x:c r="F410" s="8" t="n">
        <x:v>0</x:v>
      </x:c>
      <x:c r="G410" s="8" t="n">
        <x:v>0</x:v>
      </x:c>
      <x:c r="H410" s="4" t="str">
        <x:v>-</x:v>
      </x:c>
      <x:c r="I410" s="4" t="str">
        <x:v>-</x:v>
      </x:c>
      <x:c r="J410" s="4" t="str">
        <x:v>华夏合肥高新REIT_2025中报_20250830.pdf，PDF第39页，现金流量表</x:v>
      </x:c>
    </x:row>
    <x:row r="411" ht="32" customHeight="1">
      <x:c r="A411" s="4" t="str">
        <x:v>华夏合肥高新REIT</x:v>
      </x:c>
      <x:c r="B411" s="4" t="str">
        <x:v>2025上半年</x:v>
      </x:c>
      <x:c r="C411" s="4" t="str">
        <x:v>基金个别</x:v>
      </x:c>
      <x:c r="D411" s="4" t="n">
        <x:v>19</x:v>
      </x:c>
      <x:c r="E411" s="4" t="str">
        <x:v>筹资活动现金流入小计</x:v>
      </x:c>
      <x:c r="F411" s="8" t="n">
        <x:v>0</x:v>
      </x:c>
      <x:c r="G411" s="8" t="n">
        <x:v>0</x:v>
      </x:c>
      <x:c r="H411" s="4" t="str">
        <x:v>-</x:v>
      </x:c>
      <x:c r="I411" s="4" t="str">
        <x:v>-</x:v>
      </x:c>
      <x:c r="J411" s="4" t="str">
        <x:v>华夏合肥高新REIT_2025中报_20250830.pdf，PDF第39页，现金流量表</x:v>
      </x:c>
    </x:row>
    <x:row r="412" ht="32" customHeight="1">
      <x:c r="A412" s="4" t="str">
        <x:v>华夏合肥高新REIT</x:v>
      </x:c>
      <x:c r="B412" s="4" t="str">
        <x:v>2025上半年</x:v>
      </x:c>
      <x:c r="C412" s="4" t="str">
        <x:v>基金个别</x:v>
      </x:c>
      <x:c r="D412" s="4" t="n">
        <x:v>20</x:v>
      </x:c>
      <x:c r="E412" s="4" t="str">
        <x:v>16.赎回支付的现金</x:v>
      </x:c>
      <x:c r="F412" s="8" t="n">
        <x:v>0</x:v>
      </x:c>
      <x:c r="G412" s="8" t="n">
        <x:v>0</x:v>
      </x:c>
      <x:c r="H412" s="4" t="str">
        <x:v>-</x:v>
      </x:c>
      <x:c r="I412" s="4" t="str">
        <x:v>-</x:v>
      </x:c>
      <x:c r="J412" s="4" t="str">
        <x:v>华夏合肥高新REIT_2025中报_20250830.pdf，PDF第39页，现金流量表</x:v>
      </x:c>
    </x:row>
    <x:row r="413" ht="32" customHeight="1">
      <x:c r="A413" s="4" t="str">
        <x:v>华夏合肥高新REIT</x:v>
      </x:c>
      <x:c r="B413" s="4" t="str">
        <x:v>2025上半年</x:v>
      </x:c>
      <x:c r="C413" s="4" t="str">
        <x:v>基金个别</x:v>
      </x:c>
      <x:c r="D413" s="4" t="n">
        <x:v>21</x:v>
      </x:c>
      <x:c r="E413" s="4" t="str">
        <x:v>17.偿付利息支付的现金</x:v>
      </x:c>
      <x:c r="F413" s="8" t="n">
        <x:v>0</x:v>
      </x:c>
      <x:c r="G413" s="8" t="n">
        <x:v>0</x:v>
      </x:c>
      <x:c r="H413" s="4" t="str">
        <x:v>-</x:v>
      </x:c>
      <x:c r="I413" s="4" t="str">
        <x:v>-</x:v>
      </x:c>
      <x:c r="J413" s="4" t="str">
        <x:v>华夏合肥高新REIT_2025中报_20250830.pdf，PDF第39页，现金流量表</x:v>
      </x:c>
    </x:row>
    <x:row r="414" ht="32" customHeight="1">
      <x:c r="A414" s="4" t="str">
        <x:v>华夏合肥高新REIT</x:v>
      </x:c>
      <x:c r="B414" s="4" t="str">
        <x:v>2025上半年</x:v>
      </x:c>
      <x:c r="C414" s="4" t="str">
        <x:v>基金个别</x:v>
      </x:c>
      <x:c r="D414" s="4" t="n">
        <x:v>22</x:v>
      </x:c>
      <x:c r="E414" s="4" t="str">
        <x:v>18.分配支付的现金</x:v>
      </x:c>
      <x:c r="F414" s="8" t="n">
        <x:v>36028853.55</x:v>
      </x:c>
      <x:c r="G414" s="8" t="n">
        <x:v>57371708.04</x:v>
      </x:c>
      <x:c r="H414" s="4" t="str">
        <x:v>36,028,853.55</x:v>
      </x:c>
      <x:c r="I414" s="4" t="str">
        <x:v>57,371,708.04</x:v>
      </x:c>
      <x:c r="J414" s="4" t="str">
        <x:v>华夏合肥高新REIT_2025中报_20250830.pdf，PDF第39页，现金流量表</x:v>
      </x:c>
    </x:row>
    <x:row r="415" ht="32" customHeight="1">
      <x:c r="A415" s="4" t="str">
        <x:v>华夏合肥高新REIT</x:v>
      </x:c>
      <x:c r="B415" s="4" t="str">
        <x:v>2025上半年</x:v>
      </x:c>
      <x:c r="C415" s="4" t="str">
        <x:v>基金个别</x:v>
      </x:c>
      <x:c r="D415" s="4" t="n">
        <x:v>23</x:v>
      </x:c>
      <x:c r="E415" s="4" t="str">
        <x:v>19.支付其他与筹资活动有关的现金</x:v>
      </x:c>
      <x:c r="F415" s="8" t="n">
        <x:v>0</x:v>
      </x:c>
      <x:c r="G415" s="8" t="n">
        <x:v>0</x:v>
      </x:c>
      <x:c r="H415" s="4" t="str">
        <x:v>-</x:v>
      </x:c>
      <x:c r="I415" s="4" t="str">
        <x:v>-</x:v>
      </x:c>
      <x:c r="J415" s="4" t="str">
        <x:v>华夏合肥高新REIT_2025中报_20250830.pdf，PDF第39页，现金流量表</x:v>
      </x:c>
    </x:row>
    <x:row r="416" ht="32" customHeight="1">
      <x:c r="A416" s="4" t="str">
        <x:v>华夏合肥高新REIT</x:v>
      </x:c>
      <x:c r="B416" s="4" t="str">
        <x:v>2025上半年</x:v>
      </x:c>
      <x:c r="C416" s="4" t="str">
        <x:v>基金个别</x:v>
      </x:c>
      <x:c r="D416" s="4" t="n">
        <x:v>24</x:v>
      </x:c>
      <x:c r="E416" s="4" t="str">
        <x:v>筹资活动现金流出小计</x:v>
      </x:c>
      <x:c r="F416" s="8" t="n">
        <x:v>36028853.55</x:v>
      </x:c>
      <x:c r="G416" s="8" t="n">
        <x:v>57371708.04</x:v>
      </x:c>
      <x:c r="H416" s="4" t="str">
        <x:v>36,028,853.55</x:v>
      </x:c>
      <x:c r="I416" s="4" t="str">
        <x:v>57,371,708.04</x:v>
      </x:c>
      <x:c r="J416" s="4" t="str">
        <x:v>华夏合肥高新REIT_2025中报_20250830.pdf，PDF第39页，现金流量表</x:v>
      </x:c>
    </x:row>
    <x:row r="417" ht="32" customHeight="1">
      <x:c r="A417" s="4" t="str">
        <x:v>华夏合肥高新REIT</x:v>
      </x:c>
      <x:c r="B417" s="4" t="str">
        <x:v>2025上半年</x:v>
      </x:c>
      <x:c r="C417" s="4" t="str">
        <x:v>基金个别</x:v>
      </x:c>
      <x:c r="D417" s="4" t="n">
        <x:v>25</x:v>
      </x:c>
      <x:c r="E417" s="4" t="str">
        <x:v>筹资活动产生的现金流量净额</x:v>
      </x:c>
      <x:c r="F417" s="8" t="n">
        <x:v>-36028853.55</x:v>
      </x:c>
      <x:c r="G417" s="8" t="n">
        <x:v>-57371708.04</x:v>
      </x:c>
      <x:c r="H417" s="4" t="str">
        <x:v>-36,028,853.55</x:v>
      </x:c>
      <x:c r="I417" s="4" t="str">
        <x:v>-57,371,708.04</x:v>
      </x:c>
      <x:c r="J417" s="4" t="str">
        <x:v>华夏合肥高新REIT_2025中报_20250830.pdf，PDF第39页，现金流量表</x:v>
      </x:c>
    </x:row>
    <x:row r="418" ht="32" customHeight="1">
      <x:c r="A418" s="4" t="str">
        <x:v>华夏合肥高新REIT</x:v>
      </x:c>
      <x:c r="B418" s="4" t="str">
        <x:v>2025上半年</x:v>
      </x:c>
      <x:c r="C418" s="4" t="str">
        <x:v>基金个别</x:v>
      </x:c>
      <x:c r="D418" s="4" t="n">
        <x:v>26</x:v>
      </x:c>
      <x:c r="E418" s="4" t="str">
        <x:v>三、汇率变动对现金及现金等价物的影响</x:v>
      </x:c>
      <x:c r="F418" s="8" t="n">
        <x:v>0</x:v>
      </x:c>
      <x:c r="G418" s="8" t="n">
        <x:v>0</x:v>
      </x:c>
      <x:c r="H418" s="4" t="str">
        <x:v>-</x:v>
      </x:c>
      <x:c r="I418" s="4" t="str">
        <x:v>-</x:v>
      </x:c>
      <x:c r="J418" s="4" t="str">
        <x:v>华夏合肥高新REIT_2025中报_20250830.pdf，PDF第39页，现金流量表</x:v>
      </x:c>
    </x:row>
    <x:row r="419" ht="32" customHeight="1">
      <x:c r="A419" s="4" t="str">
        <x:v>华夏合肥高新REIT</x:v>
      </x:c>
      <x:c r="B419" s="4" t="str">
        <x:v>2025上半年</x:v>
      </x:c>
      <x:c r="C419" s="4" t="str">
        <x:v>基金个别</x:v>
      </x:c>
      <x:c r="D419" s="4" t="n">
        <x:v>27</x:v>
      </x:c>
      <x:c r="E419" s="4" t="str">
        <x:v>四、现金及现金等价物净增加额</x:v>
      </x:c>
      <x:c r="F419" s="8" t="n">
        <x:v>-2669199.88</x:v>
      </x:c>
      <x:c r="G419" s="8" t="n">
        <x:v>-1587873.01</x:v>
      </x:c>
      <x:c r="H419" s="4" t="str">
        <x:v>-2,669,199.88</x:v>
      </x:c>
      <x:c r="I419" s="4" t="str">
        <x:v>-1,587,873.01</x:v>
      </x:c>
      <x:c r="J419" s="4" t="str">
        <x:v>华夏合肥高新REIT_2025中报_20250830.pdf，PDF第39页，现金流量表</x:v>
      </x:c>
    </x:row>
    <x:row r="420" ht="32" customHeight="1">
      <x:c r="A420" s="4" t="str">
        <x:v>华夏合肥高新REIT</x:v>
      </x:c>
      <x:c r="B420" s="4" t="str">
        <x:v>2025上半年</x:v>
      </x:c>
      <x:c r="C420" s="4" t="str">
        <x:v>基金个别</x:v>
      </x:c>
      <x:c r="D420" s="4" t="n">
        <x:v>28</x:v>
      </x:c>
      <x:c r="E420" s="4" t="str">
        <x:v>加：期初现金及现金等价物余额</x:v>
      </x:c>
      <x:c r="F420" s="8" t="n">
        <x:v>3957397.59</x:v>
      </x:c>
      <x:c r="G420" s="8" t="n">
        <x:v>2985261.01</x:v>
      </x:c>
      <x:c r="H420" s="4" t="str">
        <x:v>3,957,397.59</x:v>
      </x:c>
      <x:c r="I420" s="4" t="str">
        <x:v>2,985,261.01</x:v>
      </x:c>
      <x:c r="J420" s="4" t="str">
        <x:v>华夏合肥高新REIT_2025中报_20250830.pdf，PDF第39页，现金流量表</x:v>
      </x:c>
    </x:row>
    <x:row r="421" ht="32" customHeight="1">
      <x:c r="A421" s="4" t="str">
        <x:v>华夏合肥高新REIT</x:v>
      </x:c>
      <x:c r="B421" s="4" t="str">
        <x:v>2025上半年</x:v>
      </x:c>
      <x:c r="C421" s="4" t="str">
        <x:v>基金个别</x:v>
      </x:c>
      <x:c r="D421" s="4" t="n">
        <x:v>29</x:v>
      </x:c>
      <x:c r="E421" s="4" t="str">
        <x:v>五、期末现金及现金等价物余额</x:v>
      </x:c>
      <x:c r="F421" s="8" t="n">
        <x:v>1288197.71</x:v>
      </x:c>
      <x:c r="G421" s="8" t="n">
        <x:v>1397388</x:v>
      </x:c>
      <x:c r="H421" s="4" t="str">
        <x:v>1,288,197.71</x:v>
      </x:c>
      <x:c r="I421" s="4" t="str">
        <x:v>1,397,388.00</x:v>
      </x:c>
      <x:c r="J421" s="4" t="str">
        <x:v>华夏合肥高新REIT_2025中报_20250830.pdf，PDF第39页，现金流量表</x:v>
      </x:c>
    </x:row>
    <x:row r="422" ht="32" customHeight="1">
      <x:c r="A422" s="4" t="str">
        <x:v>华夏越秀高速REIT</x:v>
      </x:c>
      <x:c r="B422" s="4" t="str">
        <x:v>2024年度</x:v>
      </x:c>
      <x:c r="C422" s="4" t="str">
        <x:v>合并</x:v>
      </x:c>
      <x:c r="D422" s="4" t="n">
        <x:v>1</x:v>
      </x:c>
      <x:c r="E422" s="4" t="str">
        <x:v>1.销售商品、提供劳务收到的现金</x:v>
      </x:c>
      <x:c r="F422" s="8" t="n">
        <x:v>243226378.17</x:v>
      </x:c>
      <x:c r="G422" s="8" t="n">
        <x:v>254478630.5</x:v>
      </x:c>
      <x:c r="H422" s="4" t="str">
        <x:v>243,226,378.17</x:v>
      </x:c>
      <x:c r="I422" s="4" t="str">
        <x:v>254,478,630.50</x:v>
      </x:c>
      <x:c r="J422" s="4" t="str">
        <x:v>华夏越秀高速REIT_2024年报_20250331.pdf，PDF第41页，现金流量表</x:v>
      </x:c>
    </x:row>
    <x:row r="423" ht="32" customHeight="1">
      <x:c r="A423" s="4" t="str">
        <x:v>华夏越秀高速REIT</x:v>
      </x:c>
      <x:c r="B423" s="4" t="str">
        <x:v>2024年度</x:v>
      </x:c>
      <x:c r="C423" s="4" t="str">
        <x:v>合并</x:v>
      </x:c>
      <x:c r="D423" s="4" t="n">
        <x:v>2</x:v>
      </x:c>
      <x:c r="E423" s="4" t="str">
        <x:v>2.处置证券投资收到的现金净额</x:v>
      </x:c>
      <x:c r="F423" s="8" t="n">
        <x:v>0</x:v>
      </x:c>
      <x:c r="G423" s="8" t="n">
        <x:v>0</x:v>
      </x:c>
      <x:c r="H423" s="4" t="str">
        <x:v>-</x:v>
      </x:c>
      <x:c r="I423" s="4" t="str">
        <x:v>-</x:v>
      </x:c>
      <x:c r="J423" s="4" t="str">
        <x:v>华夏越秀高速REIT_2024年报_20250331.pdf，PDF第41页，现金流量表</x:v>
      </x:c>
    </x:row>
    <x:row r="424" ht="32" customHeight="1">
      <x:c r="A424" s="4" t="str">
        <x:v>华夏越秀高速REIT</x:v>
      </x:c>
      <x:c r="B424" s="4" t="str">
        <x:v>2024年度</x:v>
      </x:c>
      <x:c r="C424" s="4" t="str">
        <x:v>合并</x:v>
      </x:c>
      <x:c r="D424" s="4" t="n">
        <x:v>3</x:v>
      </x:c>
      <x:c r="E424" s="4" t="str">
        <x:v>3.买入返售金融资产净减少额</x:v>
      </x:c>
      <x:c r="F424" s="8" t="n">
        <x:v>0</x:v>
      </x:c>
      <x:c r="G424" s="8" t="n">
        <x:v>0</x:v>
      </x:c>
      <x:c r="H424" s="4" t="str">
        <x:v>-</x:v>
      </x:c>
      <x:c r="I424" s="4" t="str">
        <x:v>-</x:v>
      </x:c>
      <x:c r="J424" s="4" t="str">
        <x:v>华夏越秀高速REIT_2024年报_20250331.pdf，PDF第41页，现金流量表</x:v>
      </x:c>
    </x:row>
    <x:row r="425" ht="32" customHeight="1">
      <x:c r="A425" s="4" t="str">
        <x:v>华夏越秀高速REIT</x:v>
      </x:c>
      <x:c r="B425" s="4" t="str">
        <x:v>2024年度</x:v>
      </x:c>
      <x:c r="C425" s="4" t="str">
        <x:v>合并</x:v>
      </x:c>
      <x:c r="D425" s="4" t="n">
        <x:v>4</x:v>
      </x:c>
      <x:c r="E425" s="4" t="str">
        <x:v>4.卖出回购金融资产款净增加额</x:v>
      </x:c>
      <x:c r="F425" s="8" t="n">
        <x:v>0</x:v>
      </x:c>
      <x:c r="G425" s="8" t="n">
        <x:v>0</x:v>
      </x:c>
      <x:c r="H425" s="4" t="str">
        <x:v>-</x:v>
      </x:c>
      <x:c r="I425" s="4" t="str">
        <x:v>-</x:v>
      </x:c>
      <x:c r="J425" s="4" t="str">
        <x:v>华夏越秀高速REIT_2024年报_20250331.pdf，PDF第41页，现金流量表</x:v>
      </x:c>
    </x:row>
    <x:row r="426" ht="32" customHeight="1">
      <x:c r="A426" s="4" t="str">
        <x:v>华夏越秀高速REIT</x:v>
      </x:c>
      <x:c r="B426" s="4" t="str">
        <x:v>2024年度</x:v>
      </x:c>
      <x:c r="C426" s="4" t="str">
        <x:v>合并</x:v>
      </x:c>
      <x:c r="D426" s="4" t="n">
        <x:v>5</x:v>
      </x:c>
      <x:c r="E426" s="4" t="str">
        <x:v>5.取得利息收入收到的现金</x:v>
      </x:c>
      <x:c r="F426" s="8" t="n">
        <x:v>306950.69</x:v>
      </x:c>
      <x:c r="G426" s="8" t="n">
        <x:v>987979.5</x:v>
      </x:c>
      <x:c r="H426" s="4" t="str">
        <x:v>306,950.69</x:v>
      </x:c>
      <x:c r="I426" s="4" t="str">
        <x:v>987,979.50</x:v>
      </x:c>
      <x:c r="J426" s="4" t="str">
        <x:v>华夏越秀高速REIT_2024年报_20250331.pdf，PDF第41页，现金流量表</x:v>
      </x:c>
    </x:row>
    <x:row r="427" ht="32" customHeight="1">
      <x:c r="A427" s="4" t="str">
        <x:v>华夏越秀高速REIT</x:v>
      </x:c>
      <x:c r="B427" s="4" t="str">
        <x:v>2024年度</x:v>
      </x:c>
      <x:c r="C427" s="4" t="str">
        <x:v>合并</x:v>
      </x:c>
      <x:c r="D427" s="4" t="n">
        <x:v>6</x:v>
      </x:c>
      <x:c r="E427" s="4" t="str">
        <x:v>6.收到的税费返还</x:v>
      </x:c>
      <x:c r="F427" s="8" t="n">
        <x:v>0</x:v>
      </x:c>
      <x:c r="G427" s="8" t="n">
        <x:v>0</x:v>
      </x:c>
      <x:c r="H427" s="4" t="str">
        <x:v>-</x:v>
      </x:c>
      <x:c r="I427" s="4" t="str">
        <x:v>-</x:v>
      </x:c>
      <x:c r="J427" s="4" t="str">
        <x:v>华夏越秀高速REIT_2024年报_20250331.pdf，PDF第41页，现金流量表</x:v>
      </x:c>
    </x:row>
    <x:row r="428" ht="32" customHeight="1">
      <x:c r="A428" s="4" t="str">
        <x:v>华夏越秀高速REIT</x:v>
      </x:c>
      <x:c r="B428" s="4" t="str">
        <x:v>2024年度</x:v>
      </x:c>
      <x:c r="C428" s="4" t="str">
        <x:v>合并</x:v>
      </x:c>
      <x:c r="D428" s="4" t="n">
        <x:v>7</x:v>
      </x:c>
      <x:c r="E428" s="4" t="str">
        <x:v>7.收到其他与经营活动有关的现金</x:v>
      </x:c>
      <x:c r="F428" s="8" t="n">
        <x:v>2798271.99</x:v>
      </x:c>
      <x:c r="G428" s="8" t="n">
        <x:v>4795910.18</x:v>
      </x:c>
      <x:c r="H428" s="4" t="str">
        <x:v>2,798,271.99</x:v>
      </x:c>
      <x:c r="I428" s="4" t="str">
        <x:v>4,795,910.18</x:v>
      </x:c>
      <x:c r="J428" s="4" t="str">
        <x:v>华夏越秀高速REIT_2024年报_20250331.pdf，PDF第41页，现金流量表</x:v>
      </x:c>
    </x:row>
    <x:row r="429" ht="32" customHeight="1">
      <x:c r="A429" s="4" t="str">
        <x:v>华夏越秀高速REIT</x:v>
      </x:c>
      <x:c r="B429" s="4" t="str">
        <x:v>2024年度</x:v>
      </x:c>
      <x:c r="C429" s="4" t="str">
        <x:v>合并</x:v>
      </x:c>
      <x:c r="D429" s="4" t="n">
        <x:v>8</x:v>
      </x:c>
      <x:c r="E429" s="4" t="str">
        <x:v>经营活动现金流入小计</x:v>
      </x:c>
      <x:c r="F429" s="8" t="n">
        <x:v>246331600.85</x:v>
      </x:c>
      <x:c r="G429" s="8" t="n">
        <x:v>260262520.18</x:v>
      </x:c>
      <x:c r="H429" s="4" t="str">
        <x:v>246,331,600.85</x:v>
      </x:c>
      <x:c r="I429" s="4" t="str">
        <x:v>260,262,520.18</x:v>
      </x:c>
      <x:c r="J429" s="4" t="str">
        <x:v>华夏越秀高速REIT_2024年报_20250331.pdf，PDF第41页，现金流量表</x:v>
      </x:c>
    </x:row>
    <x:row r="430" ht="32" customHeight="1">
      <x:c r="A430" s="4" t="str">
        <x:v>华夏越秀高速REIT</x:v>
      </x:c>
      <x:c r="B430" s="4" t="str">
        <x:v>2024年度</x:v>
      </x:c>
      <x:c r="C430" s="4" t="str">
        <x:v>合并</x:v>
      </x:c>
      <x:c r="D430" s="4" t="n">
        <x:v>9</x:v>
      </x:c>
      <x:c r="E430" s="4" t="str">
        <x:v>8.购买商品、接受劳务支付的现金</x:v>
      </x:c>
      <x:c r="F430" s="8" t="n">
        <x:v>35892972.18</x:v>
      </x:c>
      <x:c r="G430" s="8" t="n">
        <x:v>32710835.87</x:v>
      </x:c>
      <x:c r="H430" s="4" t="str">
        <x:v>35,892,972.18</x:v>
      </x:c>
      <x:c r="I430" s="4" t="str">
        <x:v>32,710,835.87</x:v>
      </x:c>
      <x:c r="J430" s="4" t="str">
        <x:v>华夏越秀高速REIT_2024年报_20250331.pdf，PDF第41页，现金流量表</x:v>
      </x:c>
    </x:row>
    <x:row r="431" ht="32" customHeight="1">
      <x:c r="A431" s="4" t="str">
        <x:v>华夏越秀高速REIT</x:v>
      </x:c>
      <x:c r="B431" s="4" t="str">
        <x:v>2024年度</x:v>
      </x:c>
      <x:c r="C431" s="4" t="str">
        <x:v>合并</x:v>
      </x:c>
      <x:c r="D431" s="4" t="n">
        <x:v>10</x:v>
      </x:c>
      <x:c r="E431" s="4" t="str">
        <x:v>9.取得证券投资支付的现金净额</x:v>
      </x:c>
      <x:c r="F431" s="8" t="n">
        <x:v>0</x:v>
      </x:c>
      <x:c r="G431" s="8" t="n">
        <x:v>0</x:v>
      </x:c>
      <x:c r="H431" s="4" t="str">
        <x:v>-</x:v>
      </x:c>
      <x:c r="I431" s="4" t="str">
        <x:v>-</x:v>
      </x:c>
      <x:c r="J431" s="4" t="str">
        <x:v>华夏越秀高速REIT_2024年报_20250331.pdf，PDF第42页，现金流量表</x:v>
      </x:c>
    </x:row>
    <x:row r="432" ht="32" customHeight="1">
      <x:c r="A432" s="4" t="str">
        <x:v>华夏越秀高速REIT</x:v>
      </x:c>
      <x:c r="B432" s="4" t="str">
        <x:v>2024年度</x:v>
      </x:c>
      <x:c r="C432" s="4" t="str">
        <x:v>合并</x:v>
      </x:c>
      <x:c r="D432" s="4" t="n">
        <x:v>11</x:v>
      </x:c>
      <x:c r="E432" s="4" t="str">
        <x:v>10.买入返售金融资产净增加额</x:v>
      </x:c>
      <x:c r="F432" s="8" t="n">
        <x:v>0</x:v>
      </x:c>
      <x:c r="G432" s="8" t="n">
        <x:v>0</x:v>
      </x:c>
      <x:c r="H432" s="4" t="str">
        <x:v>-</x:v>
      </x:c>
      <x:c r="I432" s="4" t="str">
        <x:v>-</x:v>
      </x:c>
      <x:c r="J432" s="4" t="str">
        <x:v>华夏越秀高速REIT_2024年报_20250331.pdf，PDF第42页，现金流量表</x:v>
      </x:c>
    </x:row>
    <x:row r="433" ht="32" customHeight="1">
      <x:c r="A433" s="4" t="str">
        <x:v>华夏越秀高速REIT</x:v>
      </x:c>
      <x:c r="B433" s="4" t="str">
        <x:v>2024年度</x:v>
      </x:c>
      <x:c r="C433" s="4" t="str">
        <x:v>合并</x:v>
      </x:c>
      <x:c r="D433" s="4" t="n">
        <x:v>12</x:v>
      </x:c>
      <x:c r="E433" s="4" t="str">
        <x:v>11.卖出回购金融资产款净减少额</x:v>
      </x:c>
      <x:c r="F433" s="8" t="n">
        <x:v>0</x:v>
      </x:c>
      <x:c r="G433" s="8" t="n">
        <x:v>0</x:v>
      </x:c>
      <x:c r="H433" s="4" t="str">
        <x:v>-</x:v>
      </x:c>
      <x:c r="I433" s="4" t="str">
        <x:v>-</x:v>
      </x:c>
      <x:c r="J433" s="4" t="str">
        <x:v>华夏越秀高速REIT_2024年报_20250331.pdf，PDF第42页，现金流量表</x:v>
      </x:c>
    </x:row>
    <x:row r="434" ht="32" customHeight="1">
      <x:c r="A434" s="4" t="str">
        <x:v>华夏越秀高速REIT</x:v>
      </x:c>
      <x:c r="B434" s="4" t="str">
        <x:v>2024年度</x:v>
      </x:c>
      <x:c r="C434" s="4" t="str">
        <x:v>合并</x:v>
      </x:c>
      <x:c r="D434" s="4" t="n">
        <x:v>13</x:v>
      </x:c>
      <x:c r="E434" s="4" t="str">
        <x:v>12.支付给职工以及为职工支付的现金</x:v>
      </x:c>
      <x:c r="F434" s="8" t="n">
        <x:v>0</x:v>
      </x:c>
      <x:c r="G434" s="8" t="n">
        <x:v>0</x:v>
      </x:c>
      <x:c r="H434" s="4" t="str">
        <x:v>-</x:v>
      </x:c>
      <x:c r="I434" s="4" t="str">
        <x:v>-</x:v>
      </x:c>
      <x:c r="J434" s="4" t="str">
        <x:v>华夏越秀高速REIT_2024年报_20250331.pdf，PDF第42页，现金流量表</x:v>
      </x:c>
    </x:row>
    <x:row r="435" ht="32" customHeight="1">
      <x:c r="A435" s="4" t="str">
        <x:v>华夏越秀高速REIT</x:v>
      </x:c>
      <x:c r="B435" s="4" t="str">
        <x:v>2024年度</x:v>
      </x:c>
      <x:c r="C435" s="4" t="str">
        <x:v>合并</x:v>
      </x:c>
      <x:c r="D435" s="4" t="n">
        <x:v>14</x:v>
      </x:c>
      <x:c r="E435" s="4" t="str">
        <x:v>13.支付的各项税费</x:v>
      </x:c>
      <x:c r="F435" s="8" t="n">
        <x:v>26482198.22</x:v>
      </x:c>
      <x:c r="G435" s="8" t="n">
        <x:v>18437516.62</x:v>
      </x:c>
      <x:c r="H435" s="4" t="str">
        <x:v>26,482,198.22</x:v>
      </x:c>
      <x:c r="I435" s="4" t="str">
        <x:v>18,437,516.62</x:v>
      </x:c>
      <x:c r="J435" s="4" t="str">
        <x:v>华夏越秀高速REIT_2024年报_20250331.pdf，PDF第42页，现金流量表</x:v>
      </x:c>
    </x:row>
    <x:row r="436" ht="32" customHeight="1">
      <x:c r="A436" s="4" t="str">
        <x:v>华夏越秀高速REIT</x:v>
      </x:c>
      <x:c r="B436" s="4" t="str">
        <x:v>2024年度</x:v>
      </x:c>
      <x:c r="C436" s="4" t="str">
        <x:v>合并</x:v>
      </x:c>
      <x:c r="D436" s="4" t="n">
        <x:v>15</x:v>
      </x:c>
      <x:c r="E436" s="4" t="str">
        <x:v>14.支付其他与经营活动有关的现金</x:v>
      </x:c>
      <x:c r="F436" s="8" t="n">
        <x:v>18263365.74</x:v>
      </x:c>
      <x:c r="G436" s="8" t="n">
        <x:v>19462212.3</x:v>
      </x:c>
      <x:c r="H436" s="4" t="str">
        <x:v>18,263,365.74</x:v>
      </x:c>
      <x:c r="I436" s="4" t="str">
        <x:v>19,462,212.30</x:v>
      </x:c>
      <x:c r="J436" s="4" t="str">
        <x:v>华夏越秀高速REIT_2024年报_20250331.pdf，PDF第42页，现金流量表</x:v>
      </x:c>
    </x:row>
    <x:row r="437" ht="32" customHeight="1">
      <x:c r="A437" s="4" t="str">
        <x:v>华夏越秀高速REIT</x:v>
      </x:c>
      <x:c r="B437" s="4" t="str">
        <x:v>2024年度</x:v>
      </x:c>
      <x:c r="C437" s="4" t="str">
        <x:v>合并</x:v>
      </x:c>
      <x:c r="D437" s="4" t="n">
        <x:v>16</x:v>
      </x:c>
      <x:c r="E437" s="4" t="str">
        <x:v>经营活动现金流出小计</x:v>
      </x:c>
      <x:c r="F437" s="8" t="n">
        <x:v>80638536.14</x:v>
      </x:c>
      <x:c r="G437" s="8" t="n">
        <x:v>70610564.79</x:v>
      </x:c>
      <x:c r="H437" s="4" t="str">
        <x:v>80,638,536.14</x:v>
      </x:c>
      <x:c r="I437" s="4" t="str">
        <x:v>70,610,564.79</x:v>
      </x:c>
      <x:c r="J437" s="4" t="str">
        <x:v>华夏越秀高速REIT_2024年报_20250331.pdf，PDF第42页，现金流量表</x:v>
      </x:c>
    </x:row>
    <x:row r="438" ht="32" customHeight="1">
      <x:c r="A438" s="4" t="str">
        <x:v>华夏越秀高速REIT</x:v>
      </x:c>
      <x:c r="B438" s="4" t="str">
        <x:v>2024年度</x:v>
      </x:c>
      <x:c r="C438" s="4" t="str">
        <x:v>合并</x:v>
      </x:c>
      <x:c r="D438" s="4" t="n">
        <x:v>17</x:v>
      </x:c>
      <x:c r="E438" s="4" t="str">
        <x:v>经营活动产生的现金流量净额</x:v>
      </x:c>
      <x:c r="F438" s="8" t="n">
        <x:v>165693064.71</x:v>
      </x:c>
      <x:c r="G438" s="8" t="n">
        <x:v>189651955.39</x:v>
      </x:c>
      <x:c r="H438" s="4" t="str">
        <x:v>165,693,064.71</x:v>
      </x:c>
      <x:c r="I438" s="4" t="str">
        <x:v>189,651,955.39</x:v>
      </x:c>
      <x:c r="J438" s="4" t="str">
        <x:v>华夏越秀高速REIT_2024年报_20250331.pdf，PDF第42页，现金流量表</x:v>
      </x:c>
    </x:row>
    <x:row r="439" ht="32" customHeight="1">
      <x:c r="A439" s="4" t="str">
        <x:v>华夏越秀高速REIT</x:v>
      </x:c>
      <x:c r="B439" s="4" t="str">
        <x:v>2024年度</x:v>
      </x:c>
      <x:c r="C439" s="4" t="str">
        <x:v>合并</x:v>
      </x:c>
      <x:c r="D439" s="4" t="n">
        <x:v>18</x:v>
      </x:c>
      <x:c r="E439" s="4" t="str">
        <x:v>15.处置固定资产、无形资产和其他长期资产收到的现金净额</x:v>
      </x:c>
      <x:c r="F439" s="8" t="n">
        <x:v>855</x:v>
      </x:c>
      <x:c r="G439" s="8" t="n">
        <x:v>40595</x:v>
      </x:c>
      <x:c r="H439" s="4" t="str">
        <x:v>855.00</x:v>
      </x:c>
      <x:c r="I439" s="4" t="str">
        <x:v>40,595.00</x:v>
      </x:c>
      <x:c r="J439" s="4" t="str">
        <x:v>华夏越秀高速REIT_2024年报_20250331.pdf，PDF第42页，现金流量表</x:v>
      </x:c>
    </x:row>
    <x:row r="440" ht="32" customHeight="1">
      <x:c r="A440" s="4" t="str">
        <x:v>华夏越秀高速REIT</x:v>
      </x:c>
      <x:c r="B440" s="4" t="str">
        <x:v>2024年度</x:v>
      </x:c>
      <x:c r="C440" s="4" t="str">
        <x:v>合并</x:v>
      </x:c>
      <x:c r="D440" s="4" t="n">
        <x:v>19</x:v>
      </x:c>
      <x:c r="E440" s="4" t="str">
        <x:v>16.处置子公司及其他营业单位收到的现金净额</x:v>
      </x:c>
      <x:c r="F440" s="8" t="n">
        <x:v>0</x:v>
      </x:c>
      <x:c r="G440" s="8" t="n">
        <x:v>0</x:v>
      </x:c>
      <x:c r="H440" s="4" t="str">
        <x:v>-</x:v>
      </x:c>
      <x:c r="I440" s="4" t="str">
        <x:v>-</x:v>
      </x:c>
      <x:c r="J440" s="4" t="str">
        <x:v>华夏越秀高速REIT_2024年报_20250331.pdf，PDF第42页，现金流量表</x:v>
      </x:c>
    </x:row>
    <x:row r="441" ht="32" customHeight="1">
      <x:c r="A441" s="4" t="str">
        <x:v>华夏越秀高速REIT</x:v>
      </x:c>
      <x:c r="B441" s="4" t="str">
        <x:v>2024年度</x:v>
      </x:c>
      <x:c r="C441" s="4" t="str">
        <x:v>合并</x:v>
      </x:c>
      <x:c r="D441" s="4" t="n">
        <x:v>20</x:v>
      </x:c>
      <x:c r="E441" s="4" t="str">
        <x:v>17.收到其他与投资活动有关的现金</x:v>
      </x:c>
      <x:c r="F441" s="8" t="n">
        <x:v>158631588.43</x:v>
      </x:c>
      <x:c r="G441" s="8" t="n">
        <x:v>18000000</x:v>
      </x:c>
      <x:c r="H441" s="4" t="str">
        <x:v>158,631,588.43</x:v>
      </x:c>
      <x:c r="I441" s="4" t="str">
        <x:v>18,000,000.00</x:v>
      </x:c>
      <x:c r="J441" s="4" t="str">
        <x:v>华夏越秀高速REIT_2024年报_20250331.pdf，PDF第42页，现金流量表</x:v>
      </x:c>
    </x:row>
    <x:row r="442" ht="32" customHeight="1">
      <x:c r="A442" s="4" t="str">
        <x:v>华夏越秀高速REIT</x:v>
      </x:c>
      <x:c r="B442" s="4" t="str">
        <x:v>2024年度</x:v>
      </x:c>
      <x:c r="C442" s="4" t="str">
        <x:v>合并</x:v>
      </x:c>
      <x:c r="D442" s="4" t="n">
        <x:v>21</x:v>
      </x:c>
      <x:c r="E442" s="4" t="str">
        <x:v>投资活动现金流入小计</x:v>
      </x:c>
      <x:c r="F442" s="8" t="n">
        <x:v>158632443.43</x:v>
      </x:c>
      <x:c r="G442" s="8" t="n">
        <x:v>18040595</x:v>
      </x:c>
      <x:c r="H442" s="4" t="str">
        <x:v>158,632,443.43</x:v>
      </x:c>
      <x:c r="I442" s="4" t="str">
        <x:v>18,040,595.00</x:v>
      </x:c>
      <x:c r="J442" s="4" t="str">
        <x:v>华夏越秀高速REIT_2024年报_20250331.pdf，PDF第42页，现金流量表</x:v>
      </x:c>
    </x:row>
    <x:row r="443" ht="32" customHeight="1">
      <x:c r="A443" s="4" t="str">
        <x:v>华夏越秀高速REIT</x:v>
      </x:c>
      <x:c r="B443" s="4" t="str">
        <x:v>2024年度</x:v>
      </x:c>
      <x:c r="C443" s="4" t="str">
        <x:v>合并</x:v>
      </x:c>
      <x:c r="D443" s="4" t="n">
        <x:v>22</x:v>
      </x:c>
      <x:c r="E443" s="4" t="str">
        <x:v>18.购建固定资产、无形资产和其他长期资产支付的现金</x:v>
      </x:c>
      <x:c r="F443" s="8" t="n">
        <x:v>21706822.47</x:v>
      </x:c>
      <x:c r="G443" s="8" t="n">
        <x:v>4106987.72</x:v>
      </x:c>
      <x:c r="H443" s="4" t="str">
        <x:v>21,706,822.47</x:v>
      </x:c>
      <x:c r="I443" s="4" t="str">
        <x:v>4,106,987.72</x:v>
      </x:c>
      <x:c r="J443" s="4" t="str">
        <x:v>华夏越秀高速REIT_2024年报_20250331.pdf，PDF第42页，现金流量表</x:v>
      </x:c>
    </x:row>
    <x:row r="444" ht="32" customHeight="1">
      <x:c r="A444" s="4" t="str">
        <x:v>华夏越秀高速REIT</x:v>
      </x:c>
      <x:c r="B444" s="4" t="str">
        <x:v>2024年度</x:v>
      </x:c>
      <x:c r="C444" s="4" t="str">
        <x:v>合并</x:v>
      </x:c>
      <x:c r="D444" s="4" t="n">
        <x:v>23</x:v>
      </x:c>
      <x:c r="E444" s="4" t="str">
        <x:v>19.取得子公司及其他营业单位支付的现金净额</x:v>
      </x:c>
      <x:c r="F444" s="8" t="n">
        <x:v>0</x:v>
      </x:c>
      <x:c r="G444" s="8" t="n">
        <x:v>0</x:v>
      </x:c>
      <x:c r="H444" s="4" t="str">
        <x:v>-</x:v>
      </x:c>
      <x:c r="I444" s="4" t="str">
        <x:v>-</x:v>
      </x:c>
      <x:c r="J444" s="4" t="str">
        <x:v>华夏越秀高速REIT_2024年报_20250331.pdf，PDF第42页，现金流量表</x:v>
      </x:c>
    </x:row>
    <x:row r="445" ht="32" customHeight="1">
      <x:c r="A445" s="4" t="str">
        <x:v>华夏越秀高速REIT</x:v>
      </x:c>
      <x:c r="B445" s="4" t="str">
        <x:v>2024年度</x:v>
      </x:c>
      <x:c r="C445" s="4" t="str">
        <x:v>合并</x:v>
      </x:c>
      <x:c r="D445" s="4" t="n">
        <x:v>24</x:v>
      </x:c>
      <x:c r="E445" s="4" t="str">
        <x:v>20.支付其他与投资活动有关的现金</x:v>
      </x:c>
      <x:c r="F445" s="8" t="n">
        <x:v>161631588.43</x:v>
      </x:c>
      <x:c r="G445" s="8" t="n">
        <x:v>20000000</x:v>
      </x:c>
      <x:c r="H445" s="4" t="str">
        <x:v>161,631,588.43</x:v>
      </x:c>
      <x:c r="I445" s="4" t="str">
        <x:v>20,000,000.00</x:v>
      </x:c>
      <x:c r="J445" s="4" t="str">
        <x:v>华夏越秀高速REIT_2024年报_20250331.pdf，PDF第42页，现金流量表</x:v>
      </x:c>
    </x:row>
    <x:row r="446" ht="32" customHeight="1">
      <x:c r="A446" s="4" t="str">
        <x:v>华夏越秀高速REIT</x:v>
      </x:c>
      <x:c r="B446" s="4" t="str">
        <x:v>2024年度</x:v>
      </x:c>
      <x:c r="C446" s="4" t="str">
        <x:v>合并</x:v>
      </x:c>
      <x:c r="D446" s="4" t="n">
        <x:v>25</x:v>
      </x:c>
      <x:c r="E446" s="4" t="str">
        <x:v>投资活动现金流出小计</x:v>
      </x:c>
      <x:c r="F446" s="8" t="n">
        <x:v>183338410.9</x:v>
      </x:c>
      <x:c r="G446" s="8" t="n">
        <x:v>24106987.72</x:v>
      </x:c>
      <x:c r="H446" s="4" t="str">
        <x:v>183,338,410.90</x:v>
      </x:c>
      <x:c r="I446" s="4" t="str">
        <x:v>24,106,987.72</x:v>
      </x:c>
      <x:c r="J446" s="4" t="str">
        <x:v>华夏越秀高速REIT_2024年报_20250331.pdf，PDF第42页，现金流量表</x:v>
      </x:c>
    </x:row>
    <x:row r="447" ht="32" customHeight="1">
      <x:c r="A447" s="4" t="str">
        <x:v>华夏越秀高速REIT</x:v>
      </x:c>
      <x:c r="B447" s="4" t="str">
        <x:v>2024年度</x:v>
      </x:c>
      <x:c r="C447" s="4" t="str">
        <x:v>合并</x:v>
      </x:c>
      <x:c r="D447" s="4" t="n">
        <x:v>26</x:v>
      </x:c>
      <x:c r="E447" s="4" t="str">
        <x:v>投资活动产生的现金流量净额</x:v>
      </x:c>
      <x:c r="F447" s="8" t="n">
        <x:v>-24705967.47</x:v>
      </x:c>
      <x:c r="G447" s="8" t="n">
        <x:v>-6066392.72</x:v>
      </x:c>
      <x:c r="H447" s="4" t="str">
        <x:v>-24,705,967.47</x:v>
      </x:c>
      <x:c r="I447" s="4" t="str">
        <x:v>-6,066,392.72</x:v>
      </x:c>
      <x:c r="J447" s="4" t="str">
        <x:v>华夏越秀高速REIT_2024年报_20250331.pdf，PDF第42页，现金流量表</x:v>
      </x:c>
    </x:row>
    <x:row r="448" ht="32" customHeight="1">
      <x:c r="A448" s="4" t="str">
        <x:v>华夏越秀高速REIT</x:v>
      </x:c>
      <x:c r="B448" s="4" t="str">
        <x:v>2024年度</x:v>
      </x:c>
      <x:c r="C448" s="4" t="str">
        <x:v>合并</x:v>
      </x:c>
      <x:c r="D448" s="4" t="n">
        <x:v>27</x:v>
      </x:c>
      <x:c r="E448" s="4" t="str">
        <x:v>21.认购/申购收到的现金</x:v>
      </x:c>
      <x:c r="F448" s="8" t="n">
        <x:v>0</x:v>
      </x:c>
      <x:c r="G448" s="8" t="n">
        <x:v>0</x:v>
      </x:c>
      <x:c r="H448" s="4" t="str">
        <x:v>-</x:v>
      </x:c>
      <x:c r="I448" s="4" t="str">
        <x:v>-</x:v>
      </x:c>
      <x:c r="J448" s="4" t="str">
        <x:v>华夏越秀高速REIT_2024年报_20250331.pdf，PDF第42页，现金流量表</x:v>
      </x:c>
    </x:row>
    <x:row r="449" ht="32" customHeight="1">
      <x:c r="A449" s="4" t="str">
        <x:v>华夏越秀高速REIT</x:v>
      </x:c>
      <x:c r="B449" s="4" t="str">
        <x:v>2024年度</x:v>
      </x:c>
      <x:c r="C449" s="4" t="str">
        <x:v>合并</x:v>
      </x:c>
      <x:c r="D449" s="4" t="n">
        <x:v>28</x:v>
      </x:c>
      <x:c r="E449" s="4" t="str">
        <x:v>22.取得借款收到的现金</x:v>
      </x:c>
      <x:c r="F449" s="8" t="n">
        <x:v>0</x:v>
      </x:c>
      <x:c r="G449" s="8" t="n">
        <x:v>0</x:v>
      </x:c>
      <x:c r="H449" s="4" t="str">
        <x:v>-</x:v>
      </x:c>
      <x:c r="I449" s="4" t="str">
        <x:v>-</x:v>
      </x:c>
      <x:c r="J449" s="4" t="str">
        <x:v>华夏越秀高速REIT_2024年报_20250331.pdf，PDF第42页，现金流量表</x:v>
      </x:c>
    </x:row>
    <x:row r="450" ht="32" customHeight="1">
      <x:c r="A450" s="4" t="str">
        <x:v>华夏越秀高速REIT</x:v>
      </x:c>
      <x:c r="B450" s="4" t="str">
        <x:v>2024年度</x:v>
      </x:c>
      <x:c r="C450" s="4" t="str">
        <x:v>合并</x:v>
      </x:c>
      <x:c r="D450" s="4" t="n">
        <x:v>29</x:v>
      </x:c>
      <x:c r="E450" s="4" t="str">
        <x:v>23.收到其他与筹资活动有关的现金</x:v>
      </x:c>
      <x:c r="F450" s="8" t="n">
        <x:v>0</x:v>
      </x:c>
      <x:c r="G450" s="8" t="n">
        <x:v>0</x:v>
      </x:c>
      <x:c r="H450" s="4" t="str">
        <x:v>-</x:v>
      </x:c>
      <x:c r="I450" s="4" t="str">
        <x:v>-</x:v>
      </x:c>
      <x:c r="J450" s="4" t="str">
        <x:v>华夏越秀高速REIT_2024年报_20250331.pdf，PDF第42页，现金流量表</x:v>
      </x:c>
    </x:row>
    <x:row r="451" ht="32" customHeight="1">
      <x:c r="A451" s="4" t="str">
        <x:v>华夏越秀高速REIT</x:v>
      </x:c>
      <x:c r="B451" s="4" t="str">
        <x:v>2024年度</x:v>
      </x:c>
      <x:c r="C451" s="4" t="str">
        <x:v>合并</x:v>
      </x:c>
      <x:c r="D451" s="4" t="n">
        <x:v>30</x:v>
      </x:c>
      <x:c r="E451" s="4" t="str">
        <x:v>筹资活动现金流入小计</x:v>
      </x:c>
      <x:c r="F451" s="8" t="n">
        <x:v>0</x:v>
      </x:c>
      <x:c r="G451" s="8" t="n">
        <x:v>0</x:v>
      </x:c>
      <x:c r="H451" s="4" t="str">
        <x:v>-</x:v>
      </x:c>
      <x:c r="I451" s="4" t="str">
        <x:v>-</x:v>
      </x:c>
      <x:c r="J451" s="4" t="str">
        <x:v>华夏越秀高速REIT_2024年报_20250331.pdf，PDF第42页，现金流量表</x:v>
      </x:c>
    </x:row>
    <x:row r="452" ht="32" customHeight="1">
      <x:c r="A452" s="4" t="str">
        <x:v>华夏越秀高速REIT</x:v>
      </x:c>
      <x:c r="B452" s="4" t="str">
        <x:v>2024年度</x:v>
      </x:c>
      <x:c r="C452" s="4" t="str">
        <x:v>合并</x:v>
      </x:c>
      <x:c r="D452" s="4" t="n">
        <x:v>31</x:v>
      </x:c>
      <x:c r="E452" s="4" t="str">
        <x:v>24.赎回支付的现金</x:v>
      </x:c>
      <x:c r="F452" s="8" t="n">
        <x:v>0</x:v>
      </x:c>
      <x:c r="G452" s="8" t="n">
        <x:v>0</x:v>
      </x:c>
      <x:c r="H452" s="4" t="str">
        <x:v>-</x:v>
      </x:c>
      <x:c r="I452" s="4" t="str">
        <x:v>-</x:v>
      </x:c>
      <x:c r="J452" s="4" t="str">
        <x:v>华夏越秀高速REIT_2024年报_20250331.pdf，PDF第42页，现金流量表</x:v>
      </x:c>
    </x:row>
    <x:row r="453" ht="32" customHeight="1">
      <x:c r="A453" s="4" t="str">
        <x:v>华夏越秀高速REIT</x:v>
      </x:c>
      <x:c r="B453" s="4" t="str">
        <x:v>2024年度</x:v>
      </x:c>
      <x:c r="C453" s="4" t="str">
        <x:v>合并</x:v>
      </x:c>
      <x:c r="D453" s="4" t="n">
        <x:v>32</x:v>
      </x:c>
      <x:c r="E453" s="4" t="str">
        <x:v>25.偿还借款支付的现金</x:v>
      </x:c>
      <x:c r="F453" s="8" t="n">
        <x:v>10500000</x:v>
      </x:c>
      <x:c r="G453" s="8" t="n">
        <x:v>7000000</x:v>
      </x:c>
      <x:c r="H453" s="4" t="str">
        <x:v>10,500,000.00</x:v>
      </x:c>
      <x:c r="I453" s="4" t="str">
        <x:v>7,000,000.00</x:v>
      </x:c>
      <x:c r="J453" s="4" t="str">
        <x:v>华夏越秀高速REIT_2024年报_20250331.pdf，PDF第42页，现金流量表</x:v>
      </x:c>
    </x:row>
    <x:row r="454" ht="32" customHeight="1">
      <x:c r="A454" s="4" t="str">
        <x:v>华夏越秀高速REIT</x:v>
      </x:c>
      <x:c r="B454" s="4" t="str">
        <x:v>2024年度</x:v>
      </x:c>
      <x:c r="C454" s="4" t="str">
        <x:v>合并</x:v>
      </x:c>
      <x:c r="D454" s="4" t="n">
        <x:v>33</x:v>
      </x:c>
      <x:c r="E454" s="4" t="str">
        <x:v>26.偿付利息支付的现金</x:v>
      </x:c>
      <x:c r="F454" s="8" t="n">
        <x:v>9845286.89</x:v>
      </x:c>
      <x:c r="G454" s="8" t="n">
        <x:v>10629247.99</x:v>
      </x:c>
      <x:c r="H454" s="4" t="str">
        <x:v>9,845,286.89</x:v>
      </x:c>
      <x:c r="I454" s="4" t="str">
        <x:v>10,629,247.99</x:v>
      </x:c>
      <x:c r="J454" s="4" t="str">
        <x:v>华夏越秀高速REIT_2024年报_20250331.pdf，PDF第42页，现金流量表</x:v>
      </x:c>
    </x:row>
    <x:row r="455" ht="32" customHeight="1">
      <x:c r="A455" s="4" t="str">
        <x:v>华夏越秀高速REIT</x:v>
      </x:c>
      <x:c r="B455" s="4" t="str">
        <x:v>2024年度</x:v>
      </x:c>
      <x:c r="C455" s="4" t="str">
        <x:v>合并</x:v>
      </x:c>
      <x:c r="D455" s="4" t="n">
        <x:v>34</x:v>
      </x:c>
      <x:c r="E455" s="4" t="str">
        <x:v>27.分配支付的现金</x:v>
      </x:c>
      <x:c r="F455" s="8" t="n">
        <x:v>142586503.55</x:v>
      </x:c>
      <x:c r="G455" s="8" t="n">
        <x:v>192014291.16</x:v>
      </x:c>
      <x:c r="H455" s="4" t="str">
        <x:v>142,586,503.55</x:v>
      </x:c>
      <x:c r="I455" s="4" t="str">
        <x:v>192,014,291.16</x:v>
      </x:c>
      <x:c r="J455" s="4" t="str">
        <x:v>华夏越秀高速REIT_2024年报_20250331.pdf，PDF第42页，现金流量表</x:v>
      </x:c>
    </x:row>
    <x:row r="456" ht="32" customHeight="1">
      <x:c r="A456" s="4" t="str">
        <x:v>华夏越秀高速REIT</x:v>
      </x:c>
      <x:c r="B456" s="4" t="str">
        <x:v>2024年度</x:v>
      </x:c>
      <x:c r="C456" s="4" t="str">
        <x:v>合并</x:v>
      </x:c>
      <x:c r="D456" s="4" t="n">
        <x:v>35</x:v>
      </x:c>
      <x:c r="E456" s="4" t="str">
        <x:v>28.支付其他与筹资活动有关的现金</x:v>
      </x:c>
      <x:c r="F456" s="8" t="n">
        <x:v>0</x:v>
      </x:c>
      <x:c r="G456" s="8" t="n">
        <x:v>0</x:v>
      </x:c>
      <x:c r="H456" s="4" t="str">
        <x:v>-</x:v>
      </x:c>
      <x:c r="I456" s="4" t="str">
        <x:v>-</x:v>
      </x:c>
      <x:c r="J456" s="4" t="str">
        <x:v>华夏越秀高速REIT_2024年报_20250331.pdf，PDF第42页，现金流量表</x:v>
      </x:c>
    </x:row>
    <x:row r="457" ht="32" customHeight="1">
      <x:c r="A457" s="4" t="str">
        <x:v>华夏越秀高速REIT</x:v>
      </x:c>
      <x:c r="B457" s="4" t="str">
        <x:v>2024年度</x:v>
      </x:c>
      <x:c r="C457" s="4" t="str">
        <x:v>合并</x:v>
      </x:c>
      <x:c r="D457" s="4" t="n">
        <x:v>36</x:v>
      </x:c>
      <x:c r="E457" s="4" t="str">
        <x:v>筹资活动现金流出小计</x:v>
      </x:c>
      <x:c r="F457" s="8" t="n">
        <x:v>162931790.44</x:v>
      </x:c>
      <x:c r="G457" s="8" t="n">
        <x:v>209643539.15</x:v>
      </x:c>
      <x:c r="H457" s="4" t="str">
        <x:v>162,931,790.44</x:v>
      </x:c>
      <x:c r="I457" s="4" t="str">
        <x:v>209,643,539.15</x:v>
      </x:c>
      <x:c r="J457" s="4" t="str">
        <x:v>华夏越秀高速REIT_2024年报_20250331.pdf，PDF第42页，现金流量表</x:v>
      </x:c>
    </x:row>
    <x:row r="458" ht="42" customHeight="1">
      <x:c r="A458" s="4" t="str">
        <x:v>华夏越秀高速REIT</x:v>
      </x:c>
      <x:c r="B458" s="4" t="str">
        <x:v>2024年度</x:v>
      </x:c>
      <x:c r="C458" s="4" t="str">
        <x:v>合并</x:v>
      </x:c>
      <x:c r="D458" s="4" t="n">
        <x:v>37</x:v>
      </x:c>
      <x:c r="E458" s="4" t="str">
        <x:v>筹资活动产生的现金流量净额</x:v>
      </x:c>
      <x:c r="F458" s="8" t="n">
        <x:v>-162931790.44</x:v>
      </x:c>
      <x:c r="G458" s="8" t="n">
        <x:v>-209643539.15</x:v>
      </x:c>
      <x:c r="H458" s="4" t="str">
        <x:v>-162,931,790.44</x:v>
      </x:c>
      <x:c r="I458" s="4" t="str">
        <x:v>-209,643,539.15</x:v>
      </x:c>
      <x:c r="J458" s="4" t="str">
        <x:v>华夏越秀高速REIT_2024年报_20250331.pdf，PDF第42页，现金流量表</x:v>
      </x:c>
    </x:row>
    <x:row r="459" ht="32" customHeight="1">
      <x:c r="A459" s="4" t="str">
        <x:v>华夏越秀高速REIT</x:v>
      </x:c>
      <x:c r="B459" s="4" t="str">
        <x:v>2024年度</x:v>
      </x:c>
      <x:c r="C459" s="4" t="str">
        <x:v>合并</x:v>
      </x:c>
      <x:c r="D459" s="4" t="n">
        <x:v>38</x:v>
      </x:c>
      <x:c r="E459" s="4" t="str">
        <x:v>四、汇率变动对现金及现金等价物的影响</x:v>
      </x:c>
      <x:c r="F459" s="8" t="n">
        <x:v>0</x:v>
      </x:c>
      <x:c r="G459" s="8" t="n">
        <x:v>0</x:v>
      </x:c>
      <x:c r="H459" s="4" t="str">
        <x:v>-</x:v>
      </x:c>
      <x:c r="I459" s="4" t="str">
        <x:v>-</x:v>
      </x:c>
      <x:c r="J459" s="4" t="str">
        <x:v>华夏越秀高速REIT_2024年报_20250331.pdf，PDF第42页，现金流量表</x:v>
      </x:c>
    </x:row>
    <x:row r="460" ht="32" customHeight="1">
      <x:c r="A460" s="4" t="str">
        <x:v>华夏越秀高速REIT</x:v>
      </x:c>
      <x:c r="B460" s="4" t="str">
        <x:v>2024年度</x:v>
      </x:c>
      <x:c r="C460" s="4" t="str">
        <x:v>合并</x:v>
      </x:c>
      <x:c r="D460" s="4" t="n">
        <x:v>39</x:v>
      </x:c>
      <x:c r="E460" s="4" t="str">
        <x:v>五、现金及现金等价物净增加额</x:v>
      </x:c>
      <x:c r="F460" s="8" t="n">
        <x:v>-21944693.2</x:v>
      </x:c>
      <x:c r="G460" s="8" t="n">
        <x:v>-26057976.48</x:v>
      </x:c>
      <x:c r="H460" s="4" t="str">
        <x:v>-21,944,693.20</x:v>
      </x:c>
      <x:c r="I460" s="4" t="str">
        <x:v>-26,057,976.48</x:v>
      </x:c>
      <x:c r="J460" s="4" t="str">
        <x:v>华夏越秀高速REIT_2024年报_20250331.pdf，PDF第42页，现金流量表</x:v>
      </x:c>
    </x:row>
    <x:row r="461" ht="32" customHeight="1">
      <x:c r="A461" s="4" t="str">
        <x:v>华夏越秀高速REIT</x:v>
      </x:c>
      <x:c r="B461" s="4" t="str">
        <x:v>2024年度</x:v>
      </x:c>
      <x:c r="C461" s="4" t="str">
        <x:v>合并</x:v>
      </x:c>
      <x:c r="D461" s="4" t="n">
        <x:v>40</x:v>
      </x:c>
      <x:c r="E461" s="4" t="str">
        <x:v>加：期初现金及现金等价物余额</x:v>
      </x:c>
      <x:c r="F461" s="8" t="n">
        <x:v>36952691.23</x:v>
      </x:c>
      <x:c r="G461" s="8" t="n">
        <x:v>63010667.71</x:v>
      </x:c>
      <x:c r="H461" s="4" t="str">
        <x:v>36,952,691.23</x:v>
      </x:c>
      <x:c r="I461" s="4" t="str">
        <x:v>63,010,667.71</x:v>
      </x:c>
      <x:c r="J461" s="4" t="str">
        <x:v>华夏越秀高速REIT_2024年报_20250331.pdf，PDF第42页，现金流量表</x:v>
      </x:c>
    </x:row>
    <x:row r="462" ht="32" customHeight="1">
      <x:c r="A462" s="4" t="str">
        <x:v>华夏越秀高速REIT</x:v>
      </x:c>
      <x:c r="B462" s="4" t="str">
        <x:v>2024年度</x:v>
      </x:c>
      <x:c r="C462" s="4" t="str">
        <x:v>合并</x:v>
      </x:c>
      <x:c r="D462" s="4" t="n">
        <x:v>41</x:v>
      </x:c>
      <x:c r="E462" s="4" t="str">
        <x:v>六、期末现金及现金等价物余额</x:v>
      </x:c>
      <x:c r="F462" s="8" t="n">
        <x:v>15007998.03</x:v>
      </x:c>
      <x:c r="G462" s="8" t="n">
        <x:v>36952691.23</x:v>
      </x:c>
      <x:c r="H462" s="4" t="str">
        <x:v>15,007,998.03</x:v>
      </x:c>
      <x:c r="I462" s="4" t="str">
        <x:v>36,952,691.23</x:v>
      </x:c>
      <x:c r="J462" s="4" t="str">
        <x:v>华夏越秀高速REIT_2024年报_20250331.pdf，PDF第42页，现金流量表</x:v>
      </x:c>
    </x:row>
    <x:row r="463" ht="32" customHeight="1">
      <x:c r="A463" s="4" t="str">
        <x:v>华夏越秀高速REIT</x:v>
      </x:c>
      <x:c r="B463" s="4" t="str">
        <x:v>2024年度</x:v>
      </x:c>
      <x:c r="C463" s="4" t="str">
        <x:v>基金个别</x:v>
      </x:c>
      <x:c r="D463" s="4" t="n">
        <x:v>1</x:v>
      </x:c>
      <x:c r="E463" s="4" t="str">
        <x:v>1.收回基础设施投资收到的现金</x:v>
      </x:c>
      <x:c r="F463" s="8" t="n">
        <x:v>0</x:v>
      </x:c>
      <x:c r="G463" s="8" t="n">
        <x:v>0</x:v>
      </x:c>
      <x:c r="H463" s="4" t="str">
        <x:v>-</x:v>
      </x:c>
      <x:c r="I463" s="4" t="str">
        <x:v>-</x:v>
      </x:c>
      <x:c r="J463" s="4" t="str">
        <x:v>华夏越秀高速REIT_2024年报_20250331.pdf，PDF第43页，现金流量表</x:v>
      </x:c>
    </x:row>
    <x:row r="464" ht="32" customHeight="1">
      <x:c r="A464" s="4" t="str">
        <x:v>华夏越秀高速REIT</x:v>
      </x:c>
      <x:c r="B464" s="4" t="str">
        <x:v>2024年度</x:v>
      </x:c>
      <x:c r="C464" s="4" t="str">
        <x:v>基金个别</x:v>
      </x:c>
      <x:c r="D464" s="4" t="n">
        <x:v>2</x:v>
      </x:c>
      <x:c r="E464" s="4" t="str">
        <x:v>2.取得基础设施投资收益收到的现金</x:v>
      </x:c>
      <x:c r="F464" s="8" t="n">
        <x:v>157756136.08</x:v>
      </x:c>
      <x:c r="G464" s="8" t="n">
        <x:v>171757259.5</x:v>
      </x:c>
      <x:c r="H464" s="4" t="str">
        <x:v>157,756,136.08</x:v>
      </x:c>
      <x:c r="I464" s="4" t="str">
        <x:v>171,757,259.50</x:v>
      </x:c>
      <x:c r="J464" s="4" t="str">
        <x:v>华夏越秀高速REIT_2024年报_20250331.pdf，PDF第43页，现金流量表</x:v>
      </x:c>
    </x:row>
    <x:row r="465" ht="32" customHeight="1">
      <x:c r="A465" s="4" t="str">
        <x:v>华夏越秀高速REIT</x:v>
      </x:c>
      <x:c r="B465" s="4" t="str">
        <x:v>2024年度</x:v>
      </x:c>
      <x:c r="C465" s="4" t="str">
        <x:v>基金个别</x:v>
      </x:c>
      <x:c r="D465" s="4" t="n">
        <x:v>3</x:v>
      </x:c>
      <x:c r="E465" s="4" t="str">
        <x:v>3.处置证券投资收到的现金净额</x:v>
      </x:c>
      <x:c r="F465" s="8" t="n">
        <x:v>0</x:v>
      </x:c>
      <x:c r="G465" s="8" t="n">
        <x:v>0</x:v>
      </x:c>
      <x:c r="H465" s="4" t="str">
        <x:v>-</x:v>
      </x:c>
      <x:c r="I465" s="4" t="str">
        <x:v>-</x:v>
      </x:c>
      <x:c r="J465" s="4" t="str">
        <x:v>华夏越秀高速REIT_2024年报_20250331.pdf，PDF第43页，现金流量表</x:v>
      </x:c>
    </x:row>
    <x:row r="466" ht="32" customHeight="1">
      <x:c r="A466" s="4" t="str">
        <x:v>华夏越秀高速REIT</x:v>
      </x:c>
      <x:c r="B466" s="4" t="str">
        <x:v>2024年度</x:v>
      </x:c>
      <x:c r="C466" s="4" t="str">
        <x:v>基金个别</x:v>
      </x:c>
      <x:c r="D466" s="4" t="n">
        <x:v>4</x:v>
      </x:c>
      <x:c r="E466" s="4" t="str">
        <x:v>4.买入返售金融资产净减少额</x:v>
      </x:c>
      <x:c r="F466" s="8" t="n">
        <x:v>0</x:v>
      </x:c>
      <x:c r="G466" s="8" t="n">
        <x:v>0</x:v>
      </x:c>
      <x:c r="H466" s="4" t="str">
        <x:v>-</x:v>
      </x:c>
      <x:c r="I466" s="4" t="str">
        <x:v>-</x:v>
      </x:c>
      <x:c r="J466" s="4" t="str">
        <x:v>华夏越秀高速REIT_2024年报_20250331.pdf，PDF第43页，现金流量表</x:v>
      </x:c>
    </x:row>
    <x:row r="467" ht="32" customHeight="1">
      <x:c r="A467" s="4" t="str">
        <x:v>华夏越秀高速REIT</x:v>
      </x:c>
      <x:c r="B467" s="4" t="str">
        <x:v>2024年度</x:v>
      </x:c>
      <x:c r="C467" s="4" t="str">
        <x:v>基金个别</x:v>
      </x:c>
      <x:c r="D467" s="4" t="n">
        <x:v>5</x:v>
      </x:c>
      <x:c r="E467" s="4" t="str">
        <x:v>5.卖出回购金融资产款净增加额</x:v>
      </x:c>
      <x:c r="F467" s="8" t="n">
        <x:v>0</x:v>
      </x:c>
      <x:c r="G467" s="8" t="n">
        <x:v>0</x:v>
      </x:c>
      <x:c r="H467" s="4" t="str">
        <x:v>-</x:v>
      </x:c>
      <x:c r="I467" s="4" t="str">
        <x:v>-</x:v>
      </x:c>
      <x:c r="J467" s="4" t="str">
        <x:v>华夏越秀高速REIT_2024年报_20250331.pdf，PDF第43页，现金流量表</x:v>
      </x:c>
    </x:row>
    <x:row r="468" ht="32" customHeight="1">
      <x:c r="A468" s="4" t="str">
        <x:v>华夏越秀高速REIT</x:v>
      </x:c>
      <x:c r="B468" s="4" t="str">
        <x:v>2024年度</x:v>
      </x:c>
      <x:c r="C468" s="4" t="str">
        <x:v>基金个别</x:v>
      </x:c>
      <x:c r="D468" s="4" t="n">
        <x:v>6</x:v>
      </x:c>
      <x:c r="E468" s="4" t="str">
        <x:v>6.取得利息收入收到的现金</x:v>
      </x:c>
      <x:c r="F468" s="8" t="n">
        <x:v>68265.05</x:v>
      </x:c>
      <x:c r="G468" s="8" t="n">
        <x:v>98268.79</x:v>
      </x:c>
      <x:c r="H468" s="4" t="str">
        <x:v>68,265.05</x:v>
      </x:c>
      <x:c r="I468" s="4" t="str">
        <x:v>98,268.79</x:v>
      </x:c>
      <x:c r="J468" s="4" t="str">
        <x:v>华夏越秀高速REIT_2024年报_20250331.pdf，PDF第43页，现金流量表</x:v>
      </x:c>
    </x:row>
    <x:row r="469" ht="32" customHeight="1">
      <x:c r="A469" s="4" t="str">
        <x:v>华夏越秀高速REIT</x:v>
      </x:c>
      <x:c r="B469" s="4" t="str">
        <x:v>2024年度</x:v>
      </x:c>
      <x:c r="C469" s="4" t="str">
        <x:v>基金个别</x:v>
      </x:c>
      <x:c r="D469" s="4" t="n">
        <x:v>7</x:v>
      </x:c>
      <x:c r="E469" s="4" t="str">
        <x:v>7.收到其他与经营活动有关的现金</x:v>
      </x:c>
      <x:c r="F469" s="8" t="n">
        <x:v>0</x:v>
      </x:c>
      <x:c r="G469" s="8" t="n">
        <x:v>0</x:v>
      </x:c>
      <x:c r="H469" s="4" t="str">
        <x:v>-</x:v>
      </x:c>
      <x:c r="I469" s="4" t="str">
        <x:v>-</x:v>
      </x:c>
      <x:c r="J469" s="4" t="str">
        <x:v>华夏越秀高速REIT_2024年报_20250331.pdf，PDF第43页，现金流量表</x:v>
      </x:c>
    </x:row>
    <x:row r="470" ht="32" customHeight="1">
      <x:c r="A470" s="4" t="str">
        <x:v>华夏越秀高速REIT</x:v>
      </x:c>
      <x:c r="B470" s="4" t="str">
        <x:v>2024年度</x:v>
      </x:c>
      <x:c r="C470" s="4" t="str">
        <x:v>基金个别</x:v>
      </x:c>
      <x:c r="D470" s="4" t="n">
        <x:v>8</x:v>
      </x:c>
      <x:c r="E470" s="4" t="str">
        <x:v>经营活动现金流入小计</x:v>
      </x:c>
      <x:c r="F470" s="8" t="n">
        <x:v>157824401.13</x:v>
      </x:c>
      <x:c r="G470" s="8" t="n">
        <x:v>171855528.29</x:v>
      </x:c>
      <x:c r="H470" s="4" t="str">
        <x:v>157,824,401.13</x:v>
      </x:c>
      <x:c r="I470" s="4" t="str">
        <x:v>171,855,528.29</x:v>
      </x:c>
      <x:c r="J470" s="4" t="str">
        <x:v>华夏越秀高速REIT_2024年报_20250331.pdf，PDF第43页，现金流量表</x:v>
      </x:c>
    </x:row>
    <x:row r="471" ht="32" customHeight="1">
      <x:c r="A471" s="4" t="str">
        <x:v>华夏越秀高速REIT</x:v>
      </x:c>
      <x:c r="B471" s="4" t="str">
        <x:v>2024年度</x:v>
      </x:c>
      <x:c r="C471" s="4" t="str">
        <x:v>基金个别</x:v>
      </x:c>
      <x:c r="D471" s="4" t="n">
        <x:v>9</x:v>
      </x:c>
      <x:c r="E471" s="4" t="str">
        <x:v>8.取得基础设施投资支付的现金</x:v>
      </x:c>
      <x:c r="F471" s="8" t="n">
        <x:v>0</x:v>
      </x:c>
      <x:c r="G471" s="8" t="n">
        <x:v>0</x:v>
      </x:c>
      <x:c r="H471" s="4" t="str">
        <x:v>-</x:v>
      </x:c>
      <x:c r="I471" s="4" t="str">
        <x:v>-</x:v>
      </x:c>
      <x:c r="J471" s="4" t="str">
        <x:v>华夏越秀高速REIT_2024年报_20250331.pdf，PDF第43页，现金流量表</x:v>
      </x:c>
    </x:row>
    <x:row r="472" ht="32" customHeight="1">
      <x:c r="A472" s="4" t="str">
        <x:v>华夏越秀高速REIT</x:v>
      </x:c>
      <x:c r="B472" s="4" t="str">
        <x:v>2024年度</x:v>
      </x:c>
      <x:c r="C472" s="4" t="str">
        <x:v>基金个别</x:v>
      </x:c>
      <x:c r="D472" s="4" t="n">
        <x:v>10</x:v>
      </x:c>
      <x:c r="E472" s="4" t="str">
        <x:v>9.取得证券投资支付的现金净额</x:v>
      </x:c>
      <x:c r="F472" s="8" t="n">
        <x:v>0</x:v>
      </x:c>
      <x:c r="G472" s="8" t="n">
        <x:v>0</x:v>
      </x:c>
      <x:c r="H472" s="4" t="str">
        <x:v>-</x:v>
      </x:c>
      <x:c r="I472" s="4" t="str">
        <x:v>-</x:v>
      </x:c>
      <x:c r="J472" s="4" t="str">
        <x:v>华夏越秀高速REIT_2024年报_20250331.pdf，PDF第43页，现金流量表</x:v>
      </x:c>
    </x:row>
    <x:row r="473" ht="32" customHeight="1">
      <x:c r="A473" s="4" t="str">
        <x:v>华夏越秀高速REIT</x:v>
      </x:c>
      <x:c r="B473" s="4" t="str">
        <x:v>2024年度</x:v>
      </x:c>
      <x:c r="C473" s="4" t="str">
        <x:v>基金个别</x:v>
      </x:c>
      <x:c r="D473" s="4" t="n">
        <x:v>11</x:v>
      </x:c>
      <x:c r="E473" s="4" t="str">
        <x:v>10.买入返售金融资产净增加额</x:v>
      </x:c>
      <x:c r="F473" s="8" t="n">
        <x:v>0</x:v>
      </x:c>
      <x:c r="G473" s="8" t="n">
        <x:v>0</x:v>
      </x:c>
      <x:c r="H473" s="4" t="str">
        <x:v>-</x:v>
      </x:c>
      <x:c r="I473" s="4" t="str">
        <x:v>-</x:v>
      </x:c>
      <x:c r="J473" s="4" t="str">
        <x:v>华夏越秀高速REIT_2024年报_20250331.pdf，PDF第43页，现金流量表</x:v>
      </x:c>
    </x:row>
    <x:row r="474" ht="32" customHeight="1">
      <x:c r="A474" s="4" t="str">
        <x:v>华夏越秀高速REIT</x:v>
      </x:c>
      <x:c r="B474" s="4" t="str">
        <x:v>2024年度</x:v>
      </x:c>
      <x:c r="C474" s="4" t="str">
        <x:v>基金个别</x:v>
      </x:c>
      <x:c r="D474" s="4" t="n">
        <x:v>12</x:v>
      </x:c>
      <x:c r="E474" s="4" t="str">
        <x:v>11.卖出回购金融资产款净减少额</x:v>
      </x:c>
      <x:c r="F474" s="8" t="n">
        <x:v>0</x:v>
      </x:c>
      <x:c r="G474" s="8" t="n">
        <x:v>0</x:v>
      </x:c>
      <x:c r="H474" s="4" t="str">
        <x:v>-</x:v>
      </x:c>
      <x:c r="I474" s="4" t="str">
        <x:v>-</x:v>
      </x:c>
      <x:c r="J474" s="4" t="str">
        <x:v>华夏越秀高速REIT_2024年报_20250331.pdf，PDF第43页，现金流量表</x:v>
      </x:c>
    </x:row>
    <x:row r="475" ht="32" customHeight="1">
      <x:c r="A475" s="4" t="str">
        <x:v>华夏越秀高速REIT</x:v>
      </x:c>
      <x:c r="B475" s="4" t="str">
        <x:v>2024年度</x:v>
      </x:c>
      <x:c r="C475" s="4" t="str">
        <x:v>基金个别</x:v>
      </x:c>
      <x:c r="D475" s="4" t="n">
        <x:v>13</x:v>
      </x:c>
      <x:c r="E475" s="4" t="str">
        <x:v>12.支付的各项税费</x:v>
      </x:c>
      <x:c r="F475" s="8" t="n">
        <x:v>0</x:v>
      </x:c>
      <x:c r="G475" s="8" t="n">
        <x:v>0</x:v>
      </x:c>
      <x:c r="H475" s="4" t="str">
        <x:v>-</x:v>
      </x:c>
      <x:c r="I475" s="4" t="str">
        <x:v>-</x:v>
      </x:c>
      <x:c r="J475" s="4" t="str">
        <x:v>华夏越秀高速REIT_2024年报_20250331.pdf，PDF第43页，现金流量表</x:v>
      </x:c>
    </x:row>
    <x:row r="476" ht="32" customHeight="1">
      <x:c r="A476" s="4" t="str">
        <x:v>华夏越秀高速REIT</x:v>
      </x:c>
      <x:c r="B476" s="4" t="str">
        <x:v>2024年度</x:v>
      </x:c>
      <x:c r="C476" s="4" t="str">
        <x:v>基金个别</x:v>
      </x:c>
      <x:c r="D476" s="4" t="n">
        <x:v>14</x:v>
      </x:c>
      <x:c r="E476" s="4" t="str">
        <x:v>13.支付其他与经营活动有关的现金</x:v>
      </x:c>
      <x:c r="F476" s="8" t="n">
        <x:v>14859987.5</x:v>
      </x:c>
      <x:c r="G476" s="8" t="n">
        <x:v>14907578.6</x:v>
      </x:c>
      <x:c r="H476" s="4" t="str">
        <x:v>14,859,987.50</x:v>
      </x:c>
      <x:c r="I476" s="4" t="str">
        <x:v>14,907,578.60</x:v>
      </x:c>
      <x:c r="J476" s="4" t="str">
        <x:v>华夏越秀高速REIT_2024年报_20250331.pdf，PDF第43页，现金流量表</x:v>
      </x:c>
    </x:row>
    <x:row r="477" ht="32" customHeight="1">
      <x:c r="A477" s="4" t="str">
        <x:v>华夏越秀高速REIT</x:v>
      </x:c>
      <x:c r="B477" s="4" t="str">
        <x:v>2024年度</x:v>
      </x:c>
      <x:c r="C477" s="4" t="str">
        <x:v>基金个别</x:v>
      </x:c>
      <x:c r="D477" s="4" t="n">
        <x:v>15</x:v>
      </x:c>
      <x:c r="E477" s="4" t="str">
        <x:v>经营活动现金流出小计</x:v>
      </x:c>
      <x:c r="F477" s="8" t="n">
        <x:v>14859987.5</x:v>
      </x:c>
      <x:c r="G477" s="8" t="n">
        <x:v>14907578.6</x:v>
      </x:c>
      <x:c r="H477" s="4" t="str">
        <x:v>14,859,987.50</x:v>
      </x:c>
      <x:c r="I477" s="4" t="str">
        <x:v>14,907,578.60</x:v>
      </x:c>
      <x:c r="J477" s="4" t="str">
        <x:v>华夏越秀高速REIT_2024年报_20250331.pdf，PDF第43页，现金流量表</x:v>
      </x:c>
    </x:row>
    <x:row r="478" ht="32" customHeight="1">
      <x:c r="A478" s="4" t="str">
        <x:v>华夏越秀高速REIT</x:v>
      </x:c>
      <x:c r="B478" s="4" t="str">
        <x:v>2024年度</x:v>
      </x:c>
      <x:c r="C478" s="4" t="str">
        <x:v>基金个别</x:v>
      </x:c>
      <x:c r="D478" s="4" t="n">
        <x:v>16</x:v>
      </x:c>
      <x:c r="E478" s="4" t="str">
        <x:v>经营活动产生的现金流量净额</x:v>
      </x:c>
      <x:c r="F478" s="8" t="n">
        <x:v>142964413.63</x:v>
      </x:c>
      <x:c r="G478" s="8" t="n">
        <x:v>156947949.69</x:v>
      </x:c>
      <x:c r="H478" s="4" t="str">
        <x:v>142,964,413.63</x:v>
      </x:c>
      <x:c r="I478" s="4" t="str">
        <x:v>156,947,949.69</x:v>
      </x:c>
      <x:c r="J478" s="4" t="str">
        <x:v>华夏越秀高速REIT_2024年报_20250331.pdf，PDF第43页，现金流量表</x:v>
      </x:c>
    </x:row>
    <x:row r="479" ht="32" customHeight="1">
      <x:c r="A479" s="4" t="str">
        <x:v>华夏越秀高速REIT</x:v>
      </x:c>
      <x:c r="B479" s="4" t="str">
        <x:v>2024年度</x:v>
      </x:c>
      <x:c r="C479" s="4" t="str">
        <x:v>基金个别</x:v>
      </x:c>
      <x:c r="D479" s="4" t="n">
        <x:v>17</x:v>
      </x:c>
      <x:c r="E479" s="4" t="str">
        <x:v>14.认购/申购收到的现金</x:v>
      </x:c>
      <x:c r="F479" s="8" t="n">
        <x:v>0</x:v>
      </x:c>
      <x:c r="G479" s="8" t="n">
        <x:v>0</x:v>
      </x:c>
      <x:c r="H479" s="4" t="str">
        <x:v>-</x:v>
      </x:c>
      <x:c r="I479" s="4" t="str">
        <x:v>-</x:v>
      </x:c>
      <x:c r="J479" s="4" t="str">
        <x:v>华夏越秀高速REIT_2024年报_20250331.pdf，PDF第43页，现金流量表</x:v>
      </x:c>
    </x:row>
    <x:row r="480" ht="32" customHeight="1">
      <x:c r="A480" s="4" t="str">
        <x:v>华夏越秀高速REIT</x:v>
      </x:c>
      <x:c r="B480" s="4" t="str">
        <x:v>2024年度</x:v>
      </x:c>
      <x:c r="C480" s="4" t="str">
        <x:v>基金个别</x:v>
      </x:c>
      <x:c r="D480" s="4" t="n">
        <x:v>18</x:v>
      </x:c>
      <x:c r="E480" s="4" t="str">
        <x:v>15.收到其他与筹资活动有关的现金</x:v>
      </x:c>
      <x:c r="F480" s="8" t="n">
        <x:v>0</x:v>
      </x:c>
      <x:c r="G480" s="8" t="n">
        <x:v>0</x:v>
      </x:c>
      <x:c r="H480" s="4" t="str">
        <x:v>-</x:v>
      </x:c>
      <x:c r="I480" s="4" t="str">
        <x:v>-</x:v>
      </x:c>
      <x:c r="J480" s="4" t="str">
        <x:v>华夏越秀高速REIT_2024年报_20250331.pdf，PDF第43页，现金流量表</x:v>
      </x:c>
    </x:row>
    <x:row r="481" ht="32" customHeight="1">
      <x:c r="A481" s="4" t="str">
        <x:v>华夏越秀高速REIT</x:v>
      </x:c>
      <x:c r="B481" s="4" t="str">
        <x:v>2024年度</x:v>
      </x:c>
      <x:c r="C481" s="4" t="str">
        <x:v>基金个别</x:v>
      </x:c>
      <x:c r="D481" s="4" t="n">
        <x:v>19</x:v>
      </x:c>
      <x:c r="E481" s="4" t="str">
        <x:v>筹资活动现金流入小计</x:v>
      </x:c>
      <x:c r="F481" s="8" t="n">
        <x:v>0</x:v>
      </x:c>
      <x:c r="G481" s="8" t="n">
        <x:v>0</x:v>
      </x:c>
      <x:c r="H481" s="4" t="str">
        <x:v>-</x:v>
      </x:c>
      <x:c r="I481" s="4" t="str">
        <x:v>-</x:v>
      </x:c>
      <x:c r="J481" s="4" t="str">
        <x:v>华夏越秀高速REIT_2024年报_20250331.pdf，PDF第43页，现金流量表</x:v>
      </x:c>
    </x:row>
    <x:row r="482" ht="32" customHeight="1">
      <x:c r="A482" s="4" t="str">
        <x:v>华夏越秀高速REIT</x:v>
      </x:c>
      <x:c r="B482" s="4" t="str">
        <x:v>2024年度</x:v>
      </x:c>
      <x:c r="C482" s="4" t="str">
        <x:v>基金个别</x:v>
      </x:c>
      <x:c r="D482" s="4" t="n">
        <x:v>20</x:v>
      </x:c>
      <x:c r="E482" s="4" t="str">
        <x:v>16.赎回支付的现金</x:v>
      </x:c>
      <x:c r="F482" s="8" t="n">
        <x:v>0</x:v>
      </x:c>
      <x:c r="G482" s="8" t="n">
        <x:v>0</x:v>
      </x:c>
      <x:c r="H482" s="4" t="str">
        <x:v>-</x:v>
      </x:c>
      <x:c r="I482" s="4" t="str">
        <x:v>-</x:v>
      </x:c>
      <x:c r="J482" s="4" t="str">
        <x:v>华夏越秀高速REIT_2024年报_20250331.pdf，PDF第43页，现金流量表</x:v>
      </x:c>
    </x:row>
    <x:row r="483" ht="32" customHeight="1">
      <x:c r="A483" s="4" t="str">
        <x:v>华夏越秀高速REIT</x:v>
      </x:c>
      <x:c r="B483" s="4" t="str">
        <x:v>2024年度</x:v>
      </x:c>
      <x:c r="C483" s="4" t="str">
        <x:v>基金个别</x:v>
      </x:c>
      <x:c r="D483" s="4" t="n">
        <x:v>21</x:v>
      </x:c>
      <x:c r="E483" s="4" t="str">
        <x:v>17.偿付利息支付的现金</x:v>
      </x:c>
      <x:c r="F483" s="8" t="n">
        <x:v>0</x:v>
      </x:c>
      <x:c r="G483" s="8" t="n">
        <x:v>0</x:v>
      </x:c>
      <x:c r="H483" s="4" t="str">
        <x:v>-</x:v>
      </x:c>
      <x:c r="I483" s="4" t="str">
        <x:v>-</x:v>
      </x:c>
      <x:c r="J483" s="4" t="str">
        <x:v>华夏越秀高速REIT_2024年报_20250331.pdf，PDF第43页，现金流量表</x:v>
      </x:c>
    </x:row>
    <x:row r="484" ht="32" customHeight="1">
      <x:c r="A484" s="4" t="str">
        <x:v>华夏越秀高速REIT</x:v>
      </x:c>
      <x:c r="B484" s="4" t="str">
        <x:v>2024年度</x:v>
      </x:c>
      <x:c r="C484" s="4" t="str">
        <x:v>基金个别</x:v>
      </x:c>
      <x:c r="D484" s="4" t="n">
        <x:v>22</x:v>
      </x:c>
      <x:c r="E484" s="4" t="str">
        <x:v>18.分配支付的现金</x:v>
      </x:c>
      <x:c r="F484" s="8" t="n">
        <x:v>142586503.55</x:v>
      </x:c>
      <x:c r="G484" s="8" t="n">
        <x:v>192014291.16</x:v>
      </x:c>
      <x:c r="H484" s="4" t="str">
        <x:v>142,586,503.55</x:v>
      </x:c>
      <x:c r="I484" s="4" t="str">
        <x:v>192,014,291.16</x:v>
      </x:c>
      <x:c r="J484" s="4" t="str">
        <x:v>华夏越秀高速REIT_2024年报_20250331.pdf，PDF第43页，现金流量表</x:v>
      </x:c>
    </x:row>
    <x:row r="485" ht="32" customHeight="1">
      <x:c r="A485" s="4" t="str">
        <x:v>华夏越秀高速REIT</x:v>
      </x:c>
      <x:c r="B485" s="4" t="str">
        <x:v>2024年度</x:v>
      </x:c>
      <x:c r="C485" s="4" t="str">
        <x:v>基金个别</x:v>
      </x:c>
      <x:c r="D485" s="4" t="n">
        <x:v>23</x:v>
      </x:c>
      <x:c r="E485" s="4" t="str">
        <x:v>19.支付其他与筹资活动有关的现金</x:v>
      </x:c>
      <x:c r="F485" s="8" t="n">
        <x:v>0</x:v>
      </x:c>
      <x:c r="G485" s="8" t="n">
        <x:v>0</x:v>
      </x:c>
      <x:c r="H485" s="4" t="str">
        <x:v>-</x:v>
      </x:c>
      <x:c r="I485" s="4" t="str">
        <x:v>-</x:v>
      </x:c>
      <x:c r="J485" s="4" t="str">
        <x:v>华夏越秀高速REIT_2024年报_20250331.pdf，PDF第43页，现金流量表</x:v>
      </x:c>
    </x:row>
    <x:row r="486" ht="32" customHeight="1">
      <x:c r="A486" s="4" t="str">
        <x:v>华夏越秀高速REIT</x:v>
      </x:c>
      <x:c r="B486" s="4" t="str">
        <x:v>2024年度</x:v>
      </x:c>
      <x:c r="C486" s="4" t="str">
        <x:v>基金个别</x:v>
      </x:c>
      <x:c r="D486" s="4" t="n">
        <x:v>24</x:v>
      </x:c>
      <x:c r="E486" s="4" t="str">
        <x:v>筹资活动现金流出小计</x:v>
      </x:c>
      <x:c r="F486" s="8" t="n">
        <x:v>142586503.55</x:v>
      </x:c>
      <x:c r="G486" s="8" t="n">
        <x:v>192014291.16</x:v>
      </x:c>
      <x:c r="H486" s="4" t="str">
        <x:v>142,586,503.55</x:v>
      </x:c>
      <x:c r="I486" s="4" t="str">
        <x:v>192,014,291.16</x:v>
      </x:c>
      <x:c r="J486" s="4" t="str">
        <x:v>华夏越秀高速REIT_2024年报_20250331.pdf，PDF第43页，现金流量表</x:v>
      </x:c>
    </x:row>
    <x:row r="487" ht="42" customHeight="1">
      <x:c r="A487" s="4" t="str">
        <x:v>华夏越秀高速REIT</x:v>
      </x:c>
      <x:c r="B487" s="4" t="str">
        <x:v>2024年度</x:v>
      </x:c>
      <x:c r="C487" s="4" t="str">
        <x:v>基金个别</x:v>
      </x:c>
      <x:c r="D487" s="4" t="n">
        <x:v>25</x:v>
      </x:c>
      <x:c r="E487" s="4" t="str">
        <x:v>筹资活动产生的现金流量净额</x:v>
      </x:c>
      <x:c r="F487" s="8" t="n">
        <x:v>-142586503.55</x:v>
      </x:c>
      <x:c r="G487" s="8" t="n">
        <x:v>-192014291.16</x:v>
      </x:c>
      <x:c r="H487" s="4" t="str">
        <x:v>-142,586,503.55</x:v>
      </x:c>
      <x:c r="I487" s="4" t="str">
        <x:v>-192,014,291.16</x:v>
      </x:c>
      <x:c r="J487" s="4" t="str">
        <x:v>华夏越秀高速REIT_2024年报_20250331.pdf，PDF第43页，现金流量表</x:v>
      </x:c>
    </x:row>
    <x:row r="488" ht="32" customHeight="1">
      <x:c r="A488" s="4" t="str">
        <x:v>华夏越秀高速REIT</x:v>
      </x:c>
      <x:c r="B488" s="4" t="str">
        <x:v>2024年度</x:v>
      </x:c>
      <x:c r="C488" s="4" t="str">
        <x:v>基金个别</x:v>
      </x:c>
      <x:c r="D488" s="4" t="n">
        <x:v>26</x:v>
      </x:c>
      <x:c r="E488" s="4" t="str">
        <x:v>三、汇率变动对现金及现金等价物的影响</x:v>
      </x:c>
      <x:c r="F488" s="8" t="n">
        <x:v>0</x:v>
      </x:c>
      <x:c r="G488" s="8" t="n">
        <x:v>0</x:v>
      </x:c>
      <x:c r="H488" s="4" t="str">
        <x:v>-</x:v>
      </x:c>
      <x:c r="I488" s="4" t="str">
        <x:v>-</x:v>
      </x:c>
      <x:c r="J488" s="4" t="str">
        <x:v>华夏越秀高速REIT_2024年报_20250331.pdf，PDF第43页，现金流量表</x:v>
      </x:c>
    </x:row>
    <x:row r="489" ht="32" customHeight="1">
      <x:c r="A489" s="4" t="str">
        <x:v>华夏越秀高速REIT</x:v>
      </x:c>
      <x:c r="B489" s="4" t="str">
        <x:v>2024年度</x:v>
      </x:c>
      <x:c r="C489" s="4" t="str">
        <x:v>基金个别</x:v>
      </x:c>
      <x:c r="D489" s="4" t="n">
        <x:v>27</x:v>
      </x:c>
      <x:c r="E489" s="4" t="str">
        <x:v>四、现金及现金等价物净增加额</x:v>
      </x:c>
      <x:c r="F489" s="8" t="n">
        <x:v>377910.08</x:v>
      </x:c>
      <x:c r="G489" s="8" t="n">
        <x:v>-35066341.47</x:v>
      </x:c>
      <x:c r="H489" s="4" t="str">
        <x:v>377,910.08</x:v>
      </x:c>
      <x:c r="I489" s="4" t="str">
        <x:v>-35,066,341.47</x:v>
      </x:c>
      <x:c r="J489" s="4" t="str">
        <x:v>华夏越秀高速REIT_2024年报_20250331.pdf，PDF第43页，现金流量表</x:v>
      </x:c>
    </x:row>
    <x:row r="490" ht="32" customHeight="1">
      <x:c r="A490" s="4" t="str">
        <x:v>华夏越秀高速REIT</x:v>
      </x:c>
      <x:c r="B490" s="4" t="str">
        <x:v>2024年度</x:v>
      </x:c>
      <x:c r="C490" s="4" t="str">
        <x:v>基金个别</x:v>
      </x:c>
      <x:c r="D490" s="4" t="n">
        <x:v>28</x:v>
      </x:c>
      <x:c r="E490" s="4" t="str">
        <x:v>加：期初现金及现金等价物余额</x:v>
      </x:c>
      <x:c r="F490" s="8" t="n">
        <x:v>5984456.36</x:v>
      </x:c>
      <x:c r="G490" s="8" t="n">
        <x:v>41050797.83</x:v>
      </x:c>
      <x:c r="H490" s="4" t="str">
        <x:v>5,984,456.36</x:v>
      </x:c>
      <x:c r="I490" s="4" t="str">
        <x:v>41,050,797.83</x:v>
      </x:c>
      <x:c r="J490" s="4" t="str">
        <x:v>华夏越秀高速REIT_2024年报_20250331.pdf，PDF第43页，现金流量表</x:v>
      </x:c>
    </x:row>
    <x:row r="491" ht="32" customHeight="1">
      <x:c r="A491" s="4" t="str">
        <x:v>华夏越秀高速REIT</x:v>
      </x:c>
      <x:c r="B491" s="4" t="str">
        <x:v>2024年度</x:v>
      </x:c>
      <x:c r="C491" s="4" t="str">
        <x:v>基金个别</x:v>
      </x:c>
      <x:c r="D491" s="4" t="n">
        <x:v>29</x:v>
      </x:c>
      <x:c r="E491" s="4" t="str">
        <x:v>五、期末现金及现金等价物余额</x:v>
      </x:c>
      <x:c r="F491" s="8" t="n">
        <x:v>6362366.44</x:v>
      </x:c>
      <x:c r="G491" s="8" t="n">
        <x:v>5984456.36</x:v>
      </x:c>
      <x:c r="H491" s="4" t="str">
        <x:v>6,362,366.44</x:v>
      </x:c>
      <x:c r="I491" s="4" t="str">
        <x:v>5,984,456.36</x:v>
      </x:c>
      <x:c r="J491" s="4" t="str">
        <x:v>华夏越秀高速REIT_2024年报_20250331.pdf，PDF第43页，现金流量表</x:v>
      </x:c>
    </x:row>
    <x:row r="492" ht="32" customHeight="1">
      <x:c r="A492" s="4" t="str">
        <x:v>华夏越秀高速REIT</x:v>
      </x:c>
      <x:c r="B492" s="4" t="str">
        <x:v>2025上半年</x:v>
      </x:c>
      <x:c r="C492" s="4" t="str">
        <x:v>合并</x:v>
      </x:c>
      <x:c r="D492" s="4" t="n">
        <x:v>1</x:v>
      </x:c>
      <x:c r="E492" s="4" t="str">
        <x:v>1.销售商品、提供劳务收到的现金</x:v>
      </x:c>
      <x:c r="F492" s="8" t="n">
        <x:v>121052980.19</x:v>
      </x:c>
      <x:c r="G492" s="8" t="n">
        <x:v>129188482.85</x:v>
      </x:c>
      <x:c r="H492" s="4" t="str">
        <x:v>121,052,980.19</x:v>
      </x:c>
      <x:c r="I492" s="4" t="str">
        <x:v>129,188,482.85</x:v>
      </x:c>
      <x:c r="J492" s="4" t="str">
        <x:v>华夏越秀高速REIT_2025中报_20250830.pdf，PDF第35页，现金流量表</x:v>
      </x:c>
    </x:row>
    <x:row r="493" ht="32" customHeight="1">
      <x:c r="A493" s="4" t="str">
        <x:v>华夏越秀高速REIT</x:v>
      </x:c>
      <x:c r="B493" s="4" t="str">
        <x:v>2025上半年</x:v>
      </x:c>
      <x:c r="C493" s="4" t="str">
        <x:v>合并</x:v>
      </x:c>
      <x:c r="D493" s="4" t="n">
        <x:v>2</x:v>
      </x:c>
      <x:c r="E493" s="4" t="str">
        <x:v>2.处置证券投资收到的现金净额</x:v>
      </x:c>
      <x:c r="F493" s="8" t="n">
        <x:v>0</x:v>
      </x:c>
      <x:c r="G493" s="8" t="n">
        <x:v>0</x:v>
      </x:c>
      <x:c r="H493" s="4" t="str">
        <x:v>-</x:v>
      </x:c>
      <x:c r="I493" s="4" t="str">
        <x:v>-</x:v>
      </x:c>
      <x:c r="J493" s="4" t="str">
        <x:v>华夏越秀高速REIT_2025中报_20250830.pdf，PDF第35页，现金流量表</x:v>
      </x:c>
    </x:row>
    <x:row r="494" ht="32" customHeight="1">
      <x:c r="A494" s="4" t="str">
        <x:v>华夏越秀高速REIT</x:v>
      </x:c>
      <x:c r="B494" s="4" t="str">
        <x:v>2025上半年</x:v>
      </x:c>
      <x:c r="C494" s="4" t="str">
        <x:v>合并</x:v>
      </x:c>
      <x:c r="D494" s="4" t="n">
        <x:v>3</x:v>
      </x:c>
      <x:c r="E494" s="4" t="str">
        <x:v>3.买入返售金融资产净减少额</x:v>
      </x:c>
      <x:c r="F494" s="8" t="n">
        <x:v>0</x:v>
      </x:c>
      <x:c r="G494" s="8" t="n">
        <x:v>0</x:v>
      </x:c>
      <x:c r="H494" s="4" t="str">
        <x:v>-</x:v>
      </x:c>
      <x:c r="I494" s="4" t="str">
        <x:v>-</x:v>
      </x:c>
      <x:c r="J494" s="4" t="str">
        <x:v>华夏越秀高速REIT_2025中报_20250830.pdf，PDF第35页，现金流量表</x:v>
      </x:c>
    </x:row>
    <x:row r="495" ht="32" customHeight="1">
      <x:c r="A495" s="4" t="str">
        <x:v>华夏越秀高速REIT</x:v>
      </x:c>
      <x:c r="B495" s="4" t="str">
        <x:v>2025上半年</x:v>
      </x:c>
      <x:c r="C495" s="4" t="str">
        <x:v>合并</x:v>
      </x:c>
      <x:c r="D495" s="4" t="n">
        <x:v>4</x:v>
      </x:c>
      <x:c r="E495" s="4" t="str">
        <x:v>4.卖出回购金融资产款净增加额</x:v>
      </x:c>
      <x:c r="F495" s="8" t="n">
        <x:v>0</x:v>
      </x:c>
      <x:c r="G495" s="8" t="n">
        <x:v>0</x:v>
      </x:c>
      <x:c r="H495" s="4" t="str">
        <x:v>-</x:v>
      </x:c>
      <x:c r="I495" s="4" t="str">
        <x:v>-</x:v>
      </x:c>
      <x:c r="J495" s="4" t="str">
        <x:v>华夏越秀高速REIT_2025中报_20250830.pdf，PDF第35页，现金流量表</x:v>
      </x:c>
    </x:row>
    <x:row r="496" ht="32" customHeight="1">
      <x:c r="A496" s="4" t="str">
        <x:v>华夏越秀高速REIT</x:v>
      </x:c>
      <x:c r="B496" s="4" t="str">
        <x:v>2025上半年</x:v>
      </x:c>
      <x:c r="C496" s="4" t="str">
        <x:v>合并</x:v>
      </x:c>
      <x:c r="D496" s="4" t="n">
        <x:v>5</x:v>
      </x:c>
      <x:c r="E496" s="4" t="str">
        <x:v>5.取得利息收入收到的现金</x:v>
      </x:c>
      <x:c r="F496" s="8" t="n">
        <x:v>58147.67</x:v>
      </x:c>
      <x:c r="G496" s="8" t="n">
        <x:v>210288.27</x:v>
      </x:c>
      <x:c r="H496" s="4" t="str">
        <x:v>58,147.67</x:v>
      </x:c>
      <x:c r="I496" s="4" t="str">
        <x:v>210,288.27</x:v>
      </x:c>
      <x:c r="J496" s="4" t="str">
        <x:v>华夏越秀高速REIT_2025中报_20250830.pdf，PDF第35页，现金流量表</x:v>
      </x:c>
    </x:row>
    <x:row r="497" ht="32" customHeight="1">
      <x:c r="A497" s="4" t="str">
        <x:v>华夏越秀高速REIT</x:v>
      </x:c>
      <x:c r="B497" s="4" t="str">
        <x:v>2025上半年</x:v>
      </x:c>
      <x:c r="C497" s="4" t="str">
        <x:v>合并</x:v>
      </x:c>
      <x:c r="D497" s="4" t="n">
        <x:v>6</x:v>
      </x:c>
      <x:c r="E497" s="4" t="str">
        <x:v>6.收到的税费返还</x:v>
      </x:c>
      <x:c r="F497" s="8" t="n">
        <x:v>0</x:v>
      </x:c>
      <x:c r="G497" s="8" t="n">
        <x:v>0</x:v>
      </x:c>
      <x:c r="H497" s="4" t="str">
        <x:v>-</x:v>
      </x:c>
      <x:c r="I497" s="4" t="str">
        <x:v>-</x:v>
      </x:c>
      <x:c r="J497" s="4" t="str">
        <x:v>华夏越秀高速REIT_2025中报_20250830.pdf，PDF第35页，现金流量表</x:v>
      </x:c>
    </x:row>
    <x:row r="498" ht="32" customHeight="1">
      <x:c r="A498" s="4" t="str">
        <x:v>华夏越秀高速REIT</x:v>
      </x:c>
      <x:c r="B498" s="4" t="str">
        <x:v>2025上半年</x:v>
      </x:c>
      <x:c r="C498" s="4" t="str">
        <x:v>合并</x:v>
      </x:c>
      <x:c r="D498" s="4" t="n">
        <x:v>7</x:v>
      </x:c>
      <x:c r="E498" s="4" t="str">
        <x:v>7.收到其他与经营活动有关的现金</x:v>
      </x:c>
      <x:c r="F498" s="8" t="n">
        <x:v>6548538.58</x:v>
      </x:c>
      <x:c r="G498" s="8" t="n">
        <x:v>2421175.88</x:v>
      </x:c>
      <x:c r="H498" s="4" t="str">
        <x:v>6,548,538.58</x:v>
      </x:c>
      <x:c r="I498" s="4" t="str">
        <x:v>2,421,175.88</x:v>
      </x:c>
      <x:c r="J498" s="4" t="str">
        <x:v>华夏越秀高速REIT_2025中报_20250830.pdf，PDF第35页，现金流量表</x:v>
      </x:c>
    </x:row>
    <x:row r="499" ht="32" customHeight="1">
      <x:c r="A499" s="4" t="str">
        <x:v>华夏越秀高速REIT</x:v>
      </x:c>
      <x:c r="B499" s="4" t="str">
        <x:v>2025上半年</x:v>
      </x:c>
      <x:c r="C499" s="4" t="str">
        <x:v>合并</x:v>
      </x:c>
      <x:c r="D499" s="4" t="n">
        <x:v>8</x:v>
      </x:c>
      <x:c r="E499" s="4" t="str">
        <x:v>经营活动现金流入小计</x:v>
      </x:c>
      <x:c r="F499" s="8" t="n">
        <x:v>127659666.44</x:v>
      </x:c>
      <x:c r="G499" s="8" t="n">
        <x:v>131819947</x:v>
      </x:c>
      <x:c r="H499" s="4" t="str">
        <x:v>127,659,666.44</x:v>
      </x:c>
      <x:c r="I499" s="4" t="str">
        <x:v>131,819,947.00</x:v>
      </x:c>
      <x:c r="J499" s="4" t="str">
        <x:v>华夏越秀高速REIT_2025中报_20250830.pdf，PDF第35页，现金流量表</x:v>
      </x:c>
    </x:row>
    <x:row r="500" ht="32" customHeight="1">
      <x:c r="A500" s="4" t="str">
        <x:v>华夏越秀高速REIT</x:v>
      </x:c>
      <x:c r="B500" s="4" t="str">
        <x:v>2025上半年</x:v>
      </x:c>
      <x:c r="C500" s="4" t="str">
        <x:v>合并</x:v>
      </x:c>
      <x:c r="D500" s="4" t="n">
        <x:v>9</x:v>
      </x:c>
      <x:c r="E500" s="4" t="str">
        <x:v>8.购买商品、接受劳务支付的现金</x:v>
      </x:c>
      <x:c r="F500" s="8" t="n">
        <x:v>15813447.52</x:v>
      </x:c>
      <x:c r="G500" s="8" t="n">
        <x:v>18303093.21</x:v>
      </x:c>
      <x:c r="H500" s="4" t="str">
        <x:v>15,813,447.52</x:v>
      </x:c>
      <x:c r="I500" s="4" t="str">
        <x:v>18,303,093.21</x:v>
      </x:c>
      <x:c r="J500" s="4" t="str">
        <x:v>华夏越秀高速REIT_2025中报_20250830.pdf，PDF第35页，现金流量表</x:v>
      </x:c>
    </x:row>
    <x:row r="501" ht="32" customHeight="1">
      <x:c r="A501" s="4" t="str">
        <x:v>华夏越秀高速REIT</x:v>
      </x:c>
      <x:c r="B501" s="4" t="str">
        <x:v>2025上半年</x:v>
      </x:c>
      <x:c r="C501" s="4" t="str">
        <x:v>合并</x:v>
      </x:c>
      <x:c r="D501" s="4" t="n">
        <x:v>10</x:v>
      </x:c>
      <x:c r="E501" s="4" t="str">
        <x:v>9.取得证券投资支付的现金净额</x:v>
      </x:c>
      <x:c r="F501" s="8" t="n">
        <x:v>0</x:v>
      </x:c>
      <x:c r="G501" s="8" t="n">
        <x:v>0</x:v>
      </x:c>
      <x:c r="H501" s="4" t="str">
        <x:v>-</x:v>
      </x:c>
      <x:c r="I501" s="4" t="str">
        <x:v>-</x:v>
      </x:c>
      <x:c r="J501" s="4" t="str">
        <x:v>华夏越秀高速REIT_2025中报_20250830.pdf，PDF第35页，现金流量表</x:v>
      </x:c>
    </x:row>
    <x:row r="502" ht="32" customHeight="1">
      <x:c r="A502" s="4" t="str">
        <x:v>华夏越秀高速REIT</x:v>
      </x:c>
      <x:c r="B502" s="4" t="str">
        <x:v>2025上半年</x:v>
      </x:c>
      <x:c r="C502" s="4" t="str">
        <x:v>合并</x:v>
      </x:c>
      <x:c r="D502" s="4" t="n">
        <x:v>11</x:v>
      </x:c>
      <x:c r="E502" s="4" t="str">
        <x:v>10.买入返售金融资产净增加额</x:v>
      </x:c>
      <x:c r="F502" s="8" t="n">
        <x:v>0</x:v>
      </x:c>
      <x:c r="G502" s="8" t="n">
        <x:v>0</x:v>
      </x:c>
      <x:c r="H502" s="4" t="str">
        <x:v>-</x:v>
      </x:c>
      <x:c r="I502" s="4" t="str">
        <x:v>-</x:v>
      </x:c>
      <x:c r="J502" s="4" t="str">
        <x:v>华夏越秀高速REIT_2025中报_20250830.pdf，PDF第35页，现金流量表</x:v>
      </x:c>
    </x:row>
    <x:row r="503" ht="32" customHeight="1">
      <x:c r="A503" s="4" t="str">
        <x:v>华夏越秀高速REIT</x:v>
      </x:c>
      <x:c r="B503" s="4" t="str">
        <x:v>2025上半年</x:v>
      </x:c>
      <x:c r="C503" s="4" t="str">
        <x:v>合并</x:v>
      </x:c>
      <x:c r="D503" s="4" t="n">
        <x:v>12</x:v>
      </x:c>
      <x:c r="E503" s="4" t="str">
        <x:v>11.卖出回购金融资产款净减少额</x:v>
      </x:c>
      <x:c r="F503" s="8" t="n">
        <x:v>0</x:v>
      </x:c>
      <x:c r="G503" s="8" t="n">
        <x:v>0</x:v>
      </x:c>
      <x:c r="H503" s="4" t="str">
        <x:v>-</x:v>
      </x:c>
      <x:c r="I503" s="4" t="str">
        <x:v>-</x:v>
      </x:c>
      <x:c r="J503" s="4" t="str">
        <x:v>华夏越秀高速REIT_2025中报_20250830.pdf，PDF第35页，现金流量表</x:v>
      </x:c>
    </x:row>
    <x:row r="504" ht="32" customHeight="1">
      <x:c r="A504" s="4" t="str">
        <x:v>华夏越秀高速REIT</x:v>
      </x:c>
      <x:c r="B504" s="4" t="str">
        <x:v>2025上半年</x:v>
      </x:c>
      <x:c r="C504" s="4" t="str">
        <x:v>合并</x:v>
      </x:c>
      <x:c r="D504" s="4" t="n">
        <x:v>13</x:v>
      </x:c>
      <x:c r="E504" s="4" t="str">
        <x:v>12.支付给职工以及为职工支付的现金</x:v>
      </x:c>
      <x:c r="F504" s="8" t="n">
        <x:v>0</x:v>
      </x:c>
      <x:c r="G504" s="8" t="n">
        <x:v>0</x:v>
      </x:c>
      <x:c r="H504" s="4" t="str">
        <x:v>-</x:v>
      </x:c>
      <x:c r="I504" s="4" t="str">
        <x:v>-</x:v>
      </x:c>
      <x:c r="J504" s="4" t="str">
        <x:v>华夏越秀高速REIT_2025中报_20250830.pdf，PDF第35页，现金流量表</x:v>
      </x:c>
    </x:row>
    <x:row r="505" ht="32" customHeight="1">
      <x:c r="A505" s="4" t="str">
        <x:v>华夏越秀高速REIT</x:v>
      </x:c>
      <x:c r="B505" s="4" t="str">
        <x:v>2025上半年</x:v>
      </x:c>
      <x:c r="C505" s="4" t="str">
        <x:v>合并</x:v>
      </x:c>
      <x:c r="D505" s="4" t="n">
        <x:v>14</x:v>
      </x:c>
      <x:c r="E505" s="4" t="str">
        <x:v>13.支付的各项税费</x:v>
      </x:c>
      <x:c r="F505" s="8" t="n">
        <x:v>13820269.85</x:v>
      </x:c>
      <x:c r="G505" s="8" t="n">
        <x:v>19944144.85</x:v>
      </x:c>
      <x:c r="H505" s="4" t="str">
        <x:v>13,820,269.85</x:v>
      </x:c>
      <x:c r="I505" s="4" t="str">
        <x:v>19,944,144.85</x:v>
      </x:c>
      <x:c r="J505" s="4" t="str">
        <x:v>华夏越秀高速REIT_2025中报_20250830.pdf，PDF第35页，现金流量表</x:v>
      </x:c>
    </x:row>
    <x:row r="506" ht="32" customHeight="1">
      <x:c r="A506" s="4" t="str">
        <x:v>华夏越秀高速REIT</x:v>
      </x:c>
      <x:c r="B506" s="4" t="str">
        <x:v>2025上半年</x:v>
      </x:c>
      <x:c r="C506" s="4" t="str">
        <x:v>合并</x:v>
      </x:c>
      <x:c r="D506" s="4" t="n">
        <x:v>15</x:v>
      </x:c>
      <x:c r="E506" s="4" t="str">
        <x:v>14.支付其他与经营活动有关的现金</x:v>
      </x:c>
      <x:c r="F506" s="8" t="n">
        <x:v>10596083.35</x:v>
      </x:c>
      <x:c r="G506" s="8" t="n">
        <x:v>11666278.91</x:v>
      </x:c>
      <x:c r="H506" s="4" t="str">
        <x:v>10,596,083.35</x:v>
      </x:c>
      <x:c r="I506" s="4" t="str">
        <x:v>11,666,278.91</x:v>
      </x:c>
      <x:c r="J506" s="4" t="str">
        <x:v>华夏越秀高速REIT_2025中报_20250830.pdf，PDF第35页，现金流量表</x:v>
      </x:c>
    </x:row>
    <x:row r="507" ht="32" customHeight="1">
      <x:c r="A507" s="4" t="str">
        <x:v>华夏越秀高速REIT</x:v>
      </x:c>
      <x:c r="B507" s="4" t="str">
        <x:v>2025上半年</x:v>
      </x:c>
      <x:c r="C507" s="4" t="str">
        <x:v>合并</x:v>
      </x:c>
      <x:c r="D507" s="4" t="n">
        <x:v>16</x:v>
      </x:c>
      <x:c r="E507" s="4" t="str">
        <x:v>经营活动现金流出小计</x:v>
      </x:c>
      <x:c r="F507" s="8" t="n">
        <x:v>40229800.72</x:v>
      </x:c>
      <x:c r="G507" s="8" t="n">
        <x:v>49913516.97</x:v>
      </x:c>
      <x:c r="H507" s="4" t="str">
        <x:v>40,229,800.72</x:v>
      </x:c>
      <x:c r="I507" s="4" t="str">
        <x:v>49,913,516.97</x:v>
      </x:c>
      <x:c r="J507" s="4" t="str">
        <x:v>华夏越秀高速REIT_2025中报_20250830.pdf，PDF第36页，现金流量表</x:v>
      </x:c>
    </x:row>
    <x:row r="508" ht="32" customHeight="1">
      <x:c r="A508" s="4" t="str">
        <x:v>华夏越秀高速REIT</x:v>
      </x:c>
      <x:c r="B508" s="4" t="str">
        <x:v>2025上半年</x:v>
      </x:c>
      <x:c r="C508" s="4" t="str">
        <x:v>合并</x:v>
      </x:c>
      <x:c r="D508" s="4" t="n">
        <x:v>17</x:v>
      </x:c>
      <x:c r="E508" s="4" t="str">
        <x:v>经营活动产生的现金流量净额</x:v>
      </x:c>
      <x:c r="F508" s="8" t="n">
        <x:v>87429865.72</x:v>
      </x:c>
      <x:c r="G508" s="8" t="n">
        <x:v>81906430.03</x:v>
      </x:c>
      <x:c r="H508" s="4" t="str">
        <x:v>87,429,865.72</x:v>
      </x:c>
      <x:c r="I508" s="4" t="str">
        <x:v>81,906,430.03</x:v>
      </x:c>
      <x:c r="J508" s="4" t="str">
        <x:v>华夏越秀高速REIT_2025中报_20250830.pdf，PDF第36页，现金流量表</x:v>
      </x:c>
    </x:row>
    <x:row r="509" ht="32" customHeight="1">
      <x:c r="A509" s="4" t="str">
        <x:v>华夏越秀高速REIT</x:v>
      </x:c>
      <x:c r="B509" s="4" t="str">
        <x:v>2025上半年</x:v>
      </x:c>
      <x:c r="C509" s="4" t="str">
        <x:v>合并</x:v>
      </x:c>
      <x:c r="D509" s="4" t="n">
        <x:v>18</x:v>
      </x:c>
      <x:c r="E509" s="4" t="str">
        <x:v>15.处置固定资产、无形资产和其他长期资产收到的现金净额</x:v>
      </x:c>
      <x:c r="F509" s="8" t="n">
        <x:v>0</x:v>
      </x:c>
      <x:c r="G509" s="8" t="n">
        <x:v>0</x:v>
      </x:c>
      <x:c r="H509" s="4" t="str">
        <x:v>-</x:v>
      </x:c>
      <x:c r="I509" s="4" t="str">
        <x:v>-</x:v>
      </x:c>
      <x:c r="J509" s="4" t="str">
        <x:v>华夏越秀高速REIT_2025中报_20250830.pdf，PDF第36页，现金流量表</x:v>
      </x:c>
    </x:row>
    <x:row r="510" ht="32" customHeight="1">
      <x:c r="A510" s="4" t="str">
        <x:v>华夏越秀高速REIT</x:v>
      </x:c>
      <x:c r="B510" s="4" t="str">
        <x:v>2025上半年</x:v>
      </x:c>
      <x:c r="C510" s="4" t="str">
        <x:v>合并</x:v>
      </x:c>
      <x:c r="D510" s="4" t="n">
        <x:v>19</x:v>
      </x:c>
      <x:c r="E510" s="4" t="str">
        <x:v>16.处置子公司及其他营业单位收到的现金净额</x:v>
      </x:c>
      <x:c r="F510" s="8" t="n">
        <x:v>0</x:v>
      </x:c>
      <x:c r="G510" s="8" t="n">
        <x:v>0</x:v>
      </x:c>
      <x:c r="H510" s="4" t="str">
        <x:v>-</x:v>
      </x:c>
      <x:c r="I510" s="4" t="str">
        <x:v>-</x:v>
      </x:c>
      <x:c r="J510" s="4" t="str">
        <x:v>华夏越秀高速REIT_2025中报_20250830.pdf，PDF第36页，现金流量表</x:v>
      </x:c>
    </x:row>
    <x:row r="511" ht="32" customHeight="1">
      <x:c r="A511" s="4" t="str">
        <x:v>华夏越秀高速REIT</x:v>
      </x:c>
      <x:c r="B511" s="4" t="str">
        <x:v>2025上半年</x:v>
      </x:c>
      <x:c r="C511" s="4" t="str">
        <x:v>合并</x:v>
      </x:c>
      <x:c r="D511" s="4" t="n">
        <x:v>20</x:v>
      </x:c>
      <x:c r="E511" s="4" t="str">
        <x:v>17.收到其他与投资活动有关的现金</x:v>
      </x:c>
      <x:c r="F511" s="8" t="n">
        <x:v>90000000</x:v>
      </x:c>
      <x:c r="G511" s="8" t="n">
        <x:v>75000000</x:v>
      </x:c>
      <x:c r="H511" s="4" t="str">
        <x:v>90,000,000.00</x:v>
      </x:c>
      <x:c r="I511" s="4" t="str">
        <x:v>75,000,000.00</x:v>
      </x:c>
      <x:c r="J511" s="4" t="str">
        <x:v>华夏越秀高速REIT_2025中报_20250830.pdf，PDF第36页，现金流量表</x:v>
      </x:c>
    </x:row>
    <x:row r="512" ht="32" customHeight="1">
      <x:c r="A512" s="4" t="str">
        <x:v>华夏越秀高速REIT</x:v>
      </x:c>
      <x:c r="B512" s="4" t="str">
        <x:v>2025上半年</x:v>
      </x:c>
      <x:c r="C512" s="4" t="str">
        <x:v>合并</x:v>
      </x:c>
      <x:c r="D512" s="4" t="n">
        <x:v>21</x:v>
      </x:c>
      <x:c r="E512" s="4" t="str">
        <x:v>投资活动现金流入小计</x:v>
      </x:c>
      <x:c r="F512" s="8" t="n">
        <x:v>90000000</x:v>
      </x:c>
      <x:c r="G512" s="8" t="n">
        <x:v>75000000</x:v>
      </x:c>
      <x:c r="H512" s="4" t="str">
        <x:v>90,000,000.00</x:v>
      </x:c>
      <x:c r="I512" s="4" t="str">
        <x:v>75,000,000.00</x:v>
      </x:c>
      <x:c r="J512" s="4" t="str">
        <x:v>华夏越秀高速REIT_2025中报_20250830.pdf，PDF第36页，现金流量表</x:v>
      </x:c>
    </x:row>
    <x:row r="513" ht="32" customHeight="1">
      <x:c r="A513" s="4" t="str">
        <x:v>华夏越秀高速REIT</x:v>
      </x:c>
      <x:c r="B513" s="4" t="str">
        <x:v>2025上半年</x:v>
      </x:c>
      <x:c r="C513" s="4" t="str">
        <x:v>合并</x:v>
      </x:c>
      <x:c r="D513" s="4" t="n">
        <x:v>22</x:v>
      </x:c>
      <x:c r="E513" s="4" t="str">
        <x:v>18.购建固定资产、无形资产和其他长期资产支付的现金</x:v>
      </x:c>
      <x:c r="F513" s="8" t="n">
        <x:v>22231260.12</x:v>
      </x:c>
      <x:c r="G513" s="8" t="n">
        <x:v>6703693.23</x:v>
      </x:c>
      <x:c r="H513" s="4" t="str">
        <x:v>22,231,260.12</x:v>
      </x:c>
      <x:c r="I513" s="4" t="str">
        <x:v>6,703,693.23</x:v>
      </x:c>
      <x:c r="J513" s="4" t="str">
        <x:v>华夏越秀高速REIT_2025中报_20250830.pdf，PDF第36页，现金流量表</x:v>
      </x:c>
    </x:row>
    <x:row r="514" ht="32" customHeight="1">
      <x:c r="A514" s="4" t="str">
        <x:v>华夏越秀高速REIT</x:v>
      </x:c>
      <x:c r="B514" s="4" t="str">
        <x:v>2025上半年</x:v>
      </x:c>
      <x:c r="C514" s="4" t="str">
        <x:v>合并</x:v>
      </x:c>
      <x:c r="D514" s="4" t="n">
        <x:v>23</x:v>
      </x:c>
      <x:c r="E514" s="4" t="str">
        <x:v>19.取得子公司及其他营业单位支付的现金净额</x:v>
      </x:c>
      <x:c r="F514" s="8" t="n">
        <x:v>0</x:v>
      </x:c>
      <x:c r="G514" s="8" t="n">
        <x:v>0</x:v>
      </x:c>
      <x:c r="H514" s="4" t="str">
        <x:v>-</x:v>
      </x:c>
      <x:c r="I514" s="4" t="str">
        <x:v>-</x:v>
      </x:c>
      <x:c r="J514" s="4" t="str">
        <x:v>华夏越秀高速REIT_2025中报_20250830.pdf，PDF第36页，现金流量表</x:v>
      </x:c>
    </x:row>
    <x:row r="515" ht="32" customHeight="1">
      <x:c r="A515" s="4" t="str">
        <x:v>华夏越秀高速REIT</x:v>
      </x:c>
      <x:c r="B515" s="4" t="str">
        <x:v>2025上半年</x:v>
      </x:c>
      <x:c r="C515" s="4" t="str">
        <x:v>合并</x:v>
      </x:c>
      <x:c r="D515" s="4" t="n">
        <x:v>24</x:v>
      </x:c>
      <x:c r="E515" s="4" t="str">
        <x:v>20.支付其他与投资活动有关的现金</x:v>
      </x:c>
      <x:c r="F515" s="8" t="n">
        <x:v>92000000</x:v>
      </x:c>
      <x:c r="G515" s="8" t="n">
        <x:v>81000000</x:v>
      </x:c>
      <x:c r="H515" s="4" t="str">
        <x:v>92,000,000.00</x:v>
      </x:c>
      <x:c r="I515" s="4" t="str">
        <x:v>81,000,000.00</x:v>
      </x:c>
      <x:c r="J515" s="4" t="str">
        <x:v>华夏越秀高速REIT_2025中报_20250830.pdf，PDF第36页，现金流量表</x:v>
      </x:c>
    </x:row>
    <x:row r="516" ht="32" customHeight="1">
      <x:c r="A516" s="4" t="str">
        <x:v>华夏越秀高速REIT</x:v>
      </x:c>
      <x:c r="B516" s="4" t="str">
        <x:v>2025上半年</x:v>
      </x:c>
      <x:c r="C516" s="4" t="str">
        <x:v>合并</x:v>
      </x:c>
      <x:c r="D516" s="4" t="n">
        <x:v>25</x:v>
      </x:c>
      <x:c r="E516" s="4" t="str">
        <x:v>投资活动现金流出小计</x:v>
      </x:c>
      <x:c r="F516" s="8" t="n">
        <x:v>114231260.12</x:v>
      </x:c>
      <x:c r="G516" s="8" t="n">
        <x:v>87703693.23</x:v>
      </x:c>
      <x:c r="H516" s="4" t="str">
        <x:v>114,231,260.12</x:v>
      </x:c>
      <x:c r="I516" s="4" t="str">
        <x:v>87,703,693.23</x:v>
      </x:c>
      <x:c r="J516" s="4" t="str">
        <x:v>华夏越秀高速REIT_2025中报_20250830.pdf，PDF第36页，现金流量表</x:v>
      </x:c>
    </x:row>
    <x:row r="517" ht="32" customHeight="1">
      <x:c r="A517" s="4" t="str">
        <x:v>华夏越秀高速REIT</x:v>
      </x:c>
      <x:c r="B517" s="4" t="str">
        <x:v>2025上半年</x:v>
      </x:c>
      <x:c r="C517" s="4" t="str">
        <x:v>合并</x:v>
      </x:c>
      <x:c r="D517" s="4" t="n">
        <x:v>26</x:v>
      </x:c>
      <x:c r="E517" s="4" t="str">
        <x:v>投资活动产生的现金流量净额</x:v>
      </x:c>
      <x:c r="F517" s="8" t="n">
        <x:v>-24231260.12</x:v>
      </x:c>
      <x:c r="G517" s="8" t="n">
        <x:v>-12703693.23</x:v>
      </x:c>
      <x:c r="H517" s="4" t="str">
        <x:v>-24,231,260.12</x:v>
      </x:c>
      <x:c r="I517" s="4" t="str">
        <x:v>-12,703,693.23</x:v>
      </x:c>
      <x:c r="J517" s="4" t="str">
        <x:v>华夏越秀高速REIT_2025中报_20250830.pdf，PDF第36页，现金流量表</x:v>
      </x:c>
    </x:row>
    <x:row r="518" ht="32" customHeight="1">
      <x:c r="A518" s="4" t="str">
        <x:v>华夏越秀高速REIT</x:v>
      </x:c>
      <x:c r="B518" s="4" t="str">
        <x:v>2025上半年</x:v>
      </x:c>
      <x:c r="C518" s="4" t="str">
        <x:v>合并</x:v>
      </x:c>
      <x:c r="D518" s="4" t="n">
        <x:v>27</x:v>
      </x:c>
      <x:c r="E518" s="4" t="str">
        <x:v>21.认购／申购收到的现金</x:v>
      </x:c>
      <x:c r="F518" s="8" t="n">
        <x:v>0</x:v>
      </x:c>
      <x:c r="G518" s="8" t="n">
        <x:v>0</x:v>
      </x:c>
      <x:c r="H518" s="4" t="str">
        <x:v>-</x:v>
      </x:c>
      <x:c r="I518" s="4" t="str">
        <x:v>-</x:v>
      </x:c>
      <x:c r="J518" s="4" t="str">
        <x:v>华夏越秀高速REIT_2025中报_20250830.pdf，PDF第36页，现金流量表</x:v>
      </x:c>
    </x:row>
    <x:row r="519" ht="32" customHeight="1">
      <x:c r="A519" s="4" t="str">
        <x:v>华夏越秀高速REIT</x:v>
      </x:c>
      <x:c r="B519" s="4" t="str">
        <x:v>2025上半年</x:v>
      </x:c>
      <x:c r="C519" s="4" t="str">
        <x:v>合并</x:v>
      </x:c>
      <x:c r="D519" s="4" t="n">
        <x:v>28</x:v>
      </x:c>
      <x:c r="E519" s="4" t="str">
        <x:v>22.取得借款收到的现金</x:v>
      </x:c>
      <x:c r="F519" s="8" t="n">
        <x:v>0</x:v>
      </x:c>
      <x:c r="G519" s="8" t="n">
        <x:v>0</x:v>
      </x:c>
      <x:c r="H519" s="4" t="str">
        <x:v>-</x:v>
      </x:c>
      <x:c r="I519" s="4" t="str">
        <x:v>-</x:v>
      </x:c>
      <x:c r="J519" s="4" t="str">
        <x:v>华夏越秀高速REIT_2025中报_20250830.pdf，PDF第36页，现金流量表</x:v>
      </x:c>
    </x:row>
    <x:row r="520" ht="32" customHeight="1">
      <x:c r="A520" s="4" t="str">
        <x:v>华夏越秀高速REIT</x:v>
      </x:c>
      <x:c r="B520" s="4" t="str">
        <x:v>2025上半年</x:v>
      </x:c>
      <x:c r="C520" s="4" t="str">
        <x:v>合并</x:v>
      </x:c>
      <x:c r="D520" s="4" t="n">
        <x:v>29</x:v>
      </x:c>
      <x:c r="E520" s="4" t="str">
        <x:v>23.收到其他与筹资活动有关的现金</x:v>
      </x:c>
      <x:c r="F520" s="8" t="n">
        <x:v>0</x:v>
      </x:c>
      <x:c r="G520" s="8" t="n">
        <x:v>0</x:v>
      </x:c>
      <x:c r="H520" s="4" t="str">
        <x:v>-</x:v>
      </x:c>
      <x:c r="I520" s="4" t="str">
        <x:v>-</x:v>
      </x:c>
      <x:c r="J520" s="4" t="str">
        <x:v>华夏越秀高速REIT_2025中报_20250830.pdf，PDF第36页，现金流量表</x:v>
      </x:c>
    </x:row>
    <x:row r="521" ht="32" customHeight="1">
      <x:c r="A521" s="4" t="str">
        <x:v>华夏越秀高速REIT</x:v>
      </x:c>
      <x:c r="B521" s="4" t="str">
        <x:v>2025上半年</x:v>
      </x:c>
      <x:c r="C521" s="4" t="str">
        <x:v>合并</x:v>
      </x:c>
      <x:c r="D521" s="4" t="n">
        <x:v>30</x:v>
      </x:c>
      <x:c r="E521" s="4" t="str">
        <x:v>筹资活动现金流入小计</x:v>
      </x:c>
      <x:c r="F521" s="8" t="n">
        <x:v>0</x:v>
      </x:c>
      <x:c r="G521" s="8" t="n">
        <x:v>0</x:v>
      </x:c>
      <x:c r="H521" s="4" t="str">
        <x:v>-</x:v>
      </x:c>
      <x:c r="I521" s="4" t="str">
        <x:v>-</x:v>
      </x:c>
      <x:c r="J521" s="4" t="str">
        <x:v>华夏越秀高速REIT_2025中报_20250830.pdf，PDF第36页，现金流量表</x:v>
      </x:c>
    </x:row>
    <x:row r="522" ht="32" customHeight="1">
      <x:c r="A522" s="4" t="str">
        <x:v>华夏越秀高速REIT</x:v>
      </x:c>
      <x:c r="B522" s="4" t="str">
        <x:v>2025上半年</x:v>
      </x:c>
      <x:c r="C522" s="4" t="str">
        <x:v>合并</x:v>
      </x:c>
      <x:c r="D522" s="4" t="n">
        <x:v>31</x:v>
      </x:c>
      <x:c r="E522" s="4" t="str">
        <x:v>24.赎回支付的现金</x:v>
      </x:c>
      <x:c r="F522" s="8" t="n">
        <x:v>0</x:v>
      </x:c>
      <x:c r="G522" s="8" t="n">
        <x:v>0</x:v>
      </x:c>
      <x:c r="H522" s="4" t="str">
        <x:v>-</x:v>
      </x:c>
      <x:c r="I522" s="4" t="str">
        <x:v>-</x:v>
      </x:c>
      <x:c r="J522" s="4" t="str">
        <x:v>华夏越秀高速REIT_2025中报_20250830.pdf，PDF第36页，现金流量表</x:v>
      </x:c>
    </x:row>
    <x:row r="523" ht="32" customHeight="1">
      <x:c r="A523" s="4" t="str">
        <x:v>华夏越秀高速REIT</x:v>
      </x:c>
      <x:c r="B523" s="4" t="str">
        <x:v>2025上半年</x:v>
      </x:c>
      <x:c r="C523" s="4" t="str">
        <x:v>合并</x:v>
      </x:c>
      <x:c r="D523" s="4" t="n">
        <x:v>32</x:v>
      </x:c>
      <x:c r="E523" s="4" t="str">
        <x:v>25.偿还借款支付的现金</x:v>
      </x:c>
      <x:c r="F523" s="8" t="n">
        <x:v>8750000</x:v>
      </x:c>
      <x:c r="G523" s="8" t="n">
        <x:v>5250000</x:v>
      </x:c>
      <x:c r="H523" s="4" t="str">
        <x:v>8,750,000.00</x:v>
      </x:c>
      <x:c r="I523" s="4" t="str">
        <x:v>5,250,000.00</x:v>
      </x:c>
      <x:c r="J523" s="4" t="str">
        <x:v>华夏越秀高速REIT_2025中报_20250830.pdf，PDF第36页，现金流量表</x:v>
      </x:c>
    </x:row>
    <x:row r="524" ht="32" customHeight="1">
      <x:c r="A524" s="4" t="str">
        <x:v>华夏越秀高速REIT</x:v>
      </x:c>
      <x:c r="B524" s="4" t="str">
        <x:v>2025上半年</x:v>
      </x:c>
      <x:c r="C524" s="4" t="str">
        <x:v>合并</x:v>
      </x:c>
      <x:c r="D524" s="4" t="n">
        <x:v>33</x:v>
      </x:c>
      <x:c r="E524" s="4" t="str">
        <x:v>26.偿付利息支付的现金</x:v>
      </x:c>
      <x:c r="F524" s="8" t="n">
        <x:v>4362275.07</x:v>
      </x:c>
      <x:c r="G524" s="8" t="n">
        <x:v>5123476.75</x:v>
      </x:c>
      <x:c r="H524" s="4" t="str">
        <x:v>4,362,275.07</x:v>
      </x:c>
      <x:c r="I524" s="4" t="str">
        <x:v>5,123,476.75</x:v>
      </x:c>
      <x:c r="J524" s="4" t="str">
        <x:v>华夏越秀高速REIT_2025中报_20250830.pdf，PDF第36页，现金流量表</x:v>
      </x:c>
    </x:row>
    <x:row r="525" ht="32" customHeight="1">
      <x:c r="A525" s="4" t="str">
        <x:v>华夏越秀高速REIT</x:v>
      </x:c>
      <x:c r="B525" s="4" t="str">
        <x:v>2025上半年</x:v>
      </x:c>
      <x:c r="C525" s="4" t="str">
        <x:v>合并</x:v>
      </x:c>
      <x:c r="D525" s="4" t="n">
        <x:v>34</x:v>
      </x:c>
      <x:c r="E525" s="4" t="str">
        <x:v>27.分配支付的现金</x:v>
      </x:c>
      <x:c r="F525" s="8" t="n">
        <x:v>24605900.74</x:v>
      </x:c>
      <x:c r="G525" s="8" t="n">
        <x:v>73220629.65</x:v>
      </x:c>
      <x:c r="H525" s="4" t="str">
        <x:v>24,605,900.74</x:v>
      </x:c>
      <x:c r="I525" s="4" t="str">
        <x:v>73,220,629.65</x:v>
      </x:c>
      <x:c r="J525" s="4" t="str">
        <x:v>华夏越秀高速REIT_2025中报_20250830.pdf，PDF第36页，现金流量表</x:v>
      </x:c>
    </x:row>
    <x:row r="526" ht="32" customHeight="1">
      <x:c r="A526" s="4" t="str">
        <x:v>华夏越秀高速REIT</x:v>
      </x:c>
      <x:c r="B526" s="4" t="str">
        <x:v>2025上半年</x:v>
      </x:c>
      <x:c r="C526" s="4" t="str">
        <x:v>合并</x:v>
      </x:c>
      <x:c r="D526" s="4" t="n">
        <x:v>35</x:v>
      </x:c>
      <x:c r="E526" s="4" t="str">
        <x:v>28.支付其他与筹资活动有关的现金</x:v>
      </x:c>
      <x:c r="F526" s="8" t="n">
        <x:v>0</x:v>
      </x:c>
      <x:c r="G526" s="8" t="n">
        <x:v>0</x:v>
      </x:c>
      <x:c r="H526" s="4" t="str">
        <x:v>-</x:v>
      </x:c>
      <x:c r="I526" s="4" t="str">
        <x:v>-</x:v>
      </x:c>
      <x:c r="J526" s="4" t="str">
        <x:v>华夏越秀高速REIT_2025中报_20250830.pdf，PDF第36页，现金流量表</x:v>
      </x:c>
    </x:row>
    <x:row r="527" ht="32" customHeight="1">
      <x:c r="A527" s="4" t="str">
        <x:v>华夏越秀高速REIT</x:v>
      </x:c>
      <x:c r="B527" s="4" t="str">
        <x:v>2025上半年</x:v>
      </x:c>
      <x:c r="C527" s="4" t="str">
        <x:v>合并</x:v>
      </x:c>
      <x:c r="D527" s="4" t="n">
        <x:v>36</x:v>
      </x:c>
      <x:c r="E527" s="4" t="str">
        <x:v>筹资活动现金流出小计</x:v>
      </x:c>
      <x:c r="F527" s="8" t="n">
        <x:v>37718175.81</x:v>
      </x:c>
      <x:c r="G527" s="8" t="n">
        <x:v>83594106.4</x:v>
      </x:c>
      <x:c r="H527" s="4" t="str">
        <x:v>37,718,175.81</x:v>
      </x:c>
      <x:c r="I527" s="4" t="str">
        <x:v>83,594,106.40</x:v>
      </x:c>
      <x:c r="J527" s="4" t="str">
        <x:v>华夏越秀高速REIT_2025中报_20250830.pdf，PDF第36页，现金流量表</x:v>
      </x:c>
    </x:row>
    <x:row r="528" ht="32" customHeight="1">
      <x:c r="A528" s="4" t="str">
        <x:v>华夏越秀高速REIT</x:v>
      </x:c>
      <x:c r="B528" s="4" t="str">
        <x:v>2025上半年</x:v>
      </x:c>
      <x:c r="C528" s="4" t="str">
        <x:v>合并</x:v>
      </x:c>
      <x:c r="D528" s="4" t="n">
        <x:v>37</x:v>
      </x:c>
      <x:c r="E528" s="4" t="str">
        <x:v>筹资活动产生的现金流量净额</x:v>
      </x:c>
      <x:c r="F528" s="8" t="n">
        <x:v>-37718175.81</x:v>
      </x:c>
      <x:c r="G528" s="8" t="n">
        <x:v>-83594106.4</x:v>
      </x:c>
      <x:c r="H528" s="4" t="str">
        <x:v>-37,718,175.81</x:v>
      </x:c>
      <x:c r="I528" s="4" t="str">
        <x:v>-83,594,106.40</x:v>
      </x:c>
      <x:c r="J528" s="4" t="str">
        <x:v>华夏越秀高速REIT_2025中报_20250830.pdf，PDF第36页，现金流量表</x:v>
      </x:c>
    </x:row>
    <x:row r="529" ht="32" customHeight="1">
      <x:c r="A529" s="4" t="str">
        <x:v>华夏越秀高速REIT</x:v>
      </x:c>
      <x:c r="B529" s="4" t="str">
        <x:v>2025上半年</x:v>
      </x:c>
      <x:c r="C529" s="4" t="str">
        <x:v>合并</x:v>
      </x:c>
      <x:c r="D529" s="4" t="n">
        <x:v>38</x:v>
      </x:c>
      <x:c r="E529" s="4" t="str">
        <x:v>四、汇率变动对现金及现金等价物的影响</x:v>
      </x:c>
      <x:c r="F529" s="8" t="n">
        <x:v>0</x:v>
      </x:c>
      <x:c r="G529" s="8" t="n">
        <x:v>0</x:v>
      </x:c>
      <x:c r="H529" s="4" t="str">
        <x:v>-</x:v>
      </x:c>
      <x:c r="I529" s="4" t="str">
        <x:v>-</x:v>
      </x:c>
      <x:c r="J529" s="4" t="str">
        <x:v>华夏越秀高速REIT_2025中报_20250830.pdf，PDF第36页，现金流量表</x:v>
      </x:c>
    </x:row>
    <x:row r="530" ht="32" customHeight="1">
      <x:c r="A530" s="4" t="str">
        <x:v>华夏越秀高速REIT</x:v>
      </x:c>
      <x:c r="B530" s="4" t="str">
        <x:v>2025上半年</x:v>
      </x:c>
      <x:c r="C530" s="4" t="str">
        <x:v>合并</x:v>
      </x:c>
      <x:c r="D530" s="4" t="n">
        <x:v>39</x:v>
      </x:c>
      <x:c r="E530" s="4" t="str">
        <x:v>五、现金及现金等价物净增加额</x:v>
      </x:c>
      <x:c r="F530" s="8" t="n">
        <x:v>25480429.79</x:v>
      </x:c>
      <x:c r="G530" s="8" t="n">
        <x:v>-14391369.6</x:v>
      </x:c>
      <x:c r="H530" s="4" t="str">
        <x:v>25,480,429.79</x:v>
      </x:c>
      <x:c r="I530" s="4" t="str">
        <x:v>-14,391,369.60</x:v>
      </x:c>
      <x:c r="J530" s="4" t="str">
        <x:v>华夏越秀高速REIT_2025中报_20250830.pdf，PDF第36页，现金流量表</x:v>
      </x:c>
    </x:row>
    <x:row r="531" ht="32" customHeight="1">
      <x:c r="A531" s="4" t="str">
        <x:v>华夏越秀高速REIT</x:v>
      </x:c>
      <x:c r="B531" s="4" t="str">
        <x:v>2025上半年</x:v>
      </x:c>
      <x:c r="C531" s="4" t="str">
        <x:v>合并</x:v>
      </x:c>
      <x:c r="D531" s="4" t="n">
        <x:v>40</x:v>
      </x:c>
      <x:c r="E531" s="4" t="str">
        <x:v>加：期初现金及现金等价物余额</x:v>
      </x:c>
      <x:c r="F531" s="8" t="n">
        <x:v>15007998.03</x:v>
      </x:c>
      <x:c r="G531" s="8" t="n">
        <x:v>36952691.23</x:v>
      </x:c>
      <x:c r="H531" s="4" t="str">
        <x:v>15,007,998.03</x:v>
      </x:c>
      <x:c r="I531" s="4" t="str">
        <x:v>36,952,691.23</x:v>
      </x:c>
      <x:c r="J531" s="4" t="str">
        <x:v>华夏越秀高速REIT_2025中报_20250830.pdf，PDF第36页，现金流量表</x:v>
      </x:c>
    </x:row>
    <x:row r="532" ht="32" customHeight="1">
      <x:c r="A532" s="4" t="str">
        <x:v>华夏越秀高速REIT</x:v>
      </x:c>
      <x:c r="B532" s="4" t="str">
        <x:v>2025上半年</x:v>
      </x:c>
      <x:c r="C532" s="4" t="str">
        <x:v>合并</x:v>
      </x:c>
      <x:c r="D532" s="4" t="n">
        <x:v>41</x:v>
      </x:c>
      <x:c r="E532" s="4" t="str">
        <x:v>六、期末现金及现金等价物余额</x:v>
      </x:c>
      <x:c r="F532" s="8" t="n">
        <x:v>40488427.82</x:v>
      </x:c>
      <x:c r="G532" s="8" t="n">
        <x:v>22561321.63</x:v>
      </x:c>
      <x:c r="H532" s="4" t="str">
        <x:v>40,488,427.82</x:v>
      </x:c>
      <x:c r="I532" s="4" t="str">
        <x:v>22,561,321.63</x:v>
      </x:c>
      <x:c r="J532" s="4" t="str">
        <x:v>华夏越秀高速REIT_2025中报_20250830.pdf，PDF第36页，现金流量表</x:v>
      </x:c>
    </x:row>
    <x:row r="533" ht="32" customHeight="1">
      <x:c r="A533" s="4" t="str">
        <x:v>华夏越秀高速REIT</x:v>
      </x:c>
      <x:c r="B533" s="4" t="str">
        <x:v>2025上半年</x:v>
      </x:c>
      <x:c r="C533" s="4" t="str">
        <x:v>基金个别</x:v>
      </x:c>
      <x:c r="D533" s="4" t="n">
        <x:v>1</x:v>
      </x:c>
      <x:c r="E533" s="4" t="str">
        <x:v>1.收回基础设施投资收到的现金</x:v>
      </x:c>
      <x:c r="F533" s="8" t="n">
        <x:v>0</x:v>
      </x:c>
      <x:c r="G533" s="8" t="n">
        <x:v>0</x:v>
      </x:c>
      <x:c r="H533" s="4" t="str">
        <x:v>-</x:v>
      </x:c>
      <x:c r="I533" s="4" t="str">
        <x:v>-</x:v>
      </x:c>
      <x:c r="J533" s="4" t="str">
        <x:v>华夏越秀高速REIT_2025中报_20250830.pdf，PDF第37页，现金流量表</x:v>
      </x:c>
    </x:row>
    <x:row r="534" ht="32" customHeight="1">
      <x:c r="A534" s="4" t="str">
        <x:v>华夏越秀高速REIT</x:v>
      </x:c>
      <x:c r="B534" s="4" t="str">
        <x:v>2025上半年</x:v>
      </x:c>
      <x:c r="C534" s="4" t="str">
        <x:v>基金个别</x:v>
      </x:c>
      <x:c r="D534" s="4" t="n">
        <x:v>2</x:v>
      </x:c>
      <x:c r="E534" s="4" t="str">
        <x:v>2.取得基础设施投资收益收到的现金</x:v>
      </x:c>
      <x:c r="F534" s="8" t="n">
        <x:v>27966579.53</x:v>
      </x:c>
      <x:c r="G534" s="8" t="n">
        <x:v>81402935.63</x:v>
      </x:c>
      <x:c r="H534" s="4" t="str">
        <x:v>27,966,579.53</x:v>
      </x:c>
      <x:c r="I534" s="4" t="str">
        <x:v>81,402,935.63</x:v>
      </x:c>
      <x:c r="J534" s="4" t="str">
        <x:v>华夏越秀高速REIT_2025中报_20250830.pdf，PDF第37页，现金流量表</x:v>
      </x:c>
    </x:row>
    <x:row r="535" ht="32" customHeight="1">
      <x:c r="A535" s="4" t="str">
        <x:v>华夏越秀高速REIT</x:v>
      </x:c>
      <x:c r="B535" s="4" t="str">
        <x:v>2025上半年</x:v>
      </x:c>
      <x:c r="C535" s="4" t="str">
        <x:v>基金个别</x:v>
      </x:c>
      <x:c r="D535" s="4" t="n">
        <x:v>3</x:v>
      </x:c>
      <x:c r="E535" s="4" t="str">
        <x:v>3.处置证券投资收到的现金净额</x:v>
      </x:c>
      <x:c r="F535" s="8" t="n">
        <x:v>0</x:v>
      </x:c>
      <x:c r="G535" s="8" t="n">
        <x:v>0</x:v>
      </x:c>
      <x:c r="H535" s="4" t="str">
        <x:v>-</x:v>
      </x:c>
      <x:c r="I535" s="4" t="str">
        <x:v>-</x:v>
      </x:c>
      <x:c r="J535" s="4" t="str">
        <x:v>华夏越秀高速REIT_2025中报_20250830.pdf，PDF第37页，现金流量表</x:v>
      </x:c>
    </x:row>
    <x:row r="536" ht="32" customHeight="1">
      <x:c r="A536" s="4" t="str">
        <x:v>华夏越秀高速REIT</x:v>
      </x:c>
      <x:c r="B536" s="4" t="str">
        <x:v>2025上半年</x:v>
      </x:c>
      <x:c r="C536" s="4" t="str">
        <x:v>基金个别</x:v>
      </x:c>
      <x:c r="D536" s="4" t="n">
        <x:v>4</x:v>
      </x:c>
      <x:c r="E536" s="4" t="str">
        <x:v>4.买入返售金融资产净减少额</x:v>
      </x:c>
      <x:c r="F536" s="8" t="n">
        <x:v>0</x:v>
      </x:c>
      <x:c r="G536" s="8" t="n">
        <x:v>0</x:v>
      </x:c>
      <x:c r="H536" s="4" t="str">
        <x:v>-</x:v>
      </x:c>
      <x:c r="I536" s="4" t="str">
        <x:v>-</x:v>
      </x:c>
      <x:c r="J536" s="4" t="str">
        <x:v>华夏越秀高速REIT_2025中报_20250830.pdf，PDF第37页，现金流量表</x:v>
      </x:c>
    </x:row>
    <x:row r="537" ht="32" customHeight="1">
      <x:c r="A537" s="4" t="str">
        <x:v>华夏越秀高速REIT</x:v>
      </x:c>
      <x:c r="B537" s="4" t="str">
        <x:v>2025上半年</x:v>
      </x:c>
      <x:c r="C537" s="4" t="str">
        <x:v>基金个别</x:v>
      </x:c>
      <x:c r="D537" s="4" t="n">
        <x:v>5</x:v>
      </x:c>
      <x:c r="E537" s="4" t="str">
        <x:v>5.卖出回购金融资产款净增加额</x:v>
      </x:c>
      <x:c r="F537" s="8" t="n">
        <x:v>0</x:v>
      </x:c>
      <x:c r="G537" s="8" t="n">
        <x:v>0</x:v>
      </x:c>
      <x:c r="H537" s="4" t="str">
        <x:v>-</x:v>
      </x:c>
      <x:c r="I537" s="4" t="str">
        <x:v>-</x:v>
      </x:c>
      <x:c r="J537" s="4" t="str">
        <x:v>华夏越秀高速REIT_2025中报_20250830.pdf，PDF第37页，现金流量表</x:v>
      </x:c>
    </x:row>
    <x:row r="538" ht="32" customHeight="1">
      <x:c r="A538" s="4" t="str">
        <x:v>华夏越秀高速REIT</x:v>
      </x:c>
      <x:c r="B538" s="4" t="str">
        <x:v>2025上半年</x:v>
      </x:c>
      <x:c r="C538" s="4" t="str">
        <x:v>基金个别</x:v>
      </x:c>
      <x:c r="D538" s="4" t="n">
        <x:v>6</x:v>
      </x:c>
      <x:c r="E538" s="4" t="str">
        <x:v>6.取得利息收入收到的现金</x:v>
      </x:c>
      <x:c r="F538" s="8" t="n">
        <x:v>24324.43</x:v>
      </x:c>
      <x:c r="G538" s="8" t="n">
        <x:v>35237.28</x:v>
      </x:c>
      <x:c r="H538" s="4" t="str">
        <x:v>24,324.43</x:v>
      </x:c>
      <x:c r="I538" s="4" t="str">
        <x:v>35,237.28</x:v>
      </x:c>
      <x:c r="J538" s="4" t="str">
        <x:v>华夏越秀高速REIT_2025中报_20250830.pdf，PDF第37页，现金流量表</x:v>
      </x:c>
    </x:row>
    <x:row r="539" ht="32" customHeight="1">
      <x:c r="A539" s="4" t="str">
        <x:v>华夏越秀高速REIT</x:v>
      </x:c>
      <x:c r="B539" s="4" t="str">
        <x:v>2025上半年</x:v>
      </x:c>
      <x:c r="C539" s="4" t="str">
        <x:v>基金个别</x:v>
      </x:c>
      <x:c r="D539" s="4" t="n">
        <x:v>7</x:v>
      </x:c>
      <x:c r="E539" s="4" t="str">
        <x:v>7.收到其他与经营活动有关的现金</x:v>
      </x:c>
      <x:c r="F539" s="8" t="n">
        <x:v>0</x:v>
      </x:c>
      <x:c r="G539" s="8" t="n">
        <x:v>0</x:v>
      </x:c>
      <x:c r="H539" s="4" t="str">
        <x:v>-</x:v>
      </x:c>
      <x:c r="I539" s="4" t="str">
        <x:v>-</x:v>
      </x:c>
      <x:c r="J539" s="4" t="str">
        <x:v>华夏越秀高速REIT_2025中报_20250830.pdf，PDF第37页，现金流量表</x:v>
      </x:c>
    </x:row>
    <x:row r="540" ht="32" customHeight="1">
      <x:c r="A540" s="4" t="str">
        <x:v>华夏越秀高速REIT</x:v>
      </x:c>
      <x:c r="B540" s="4" t="str">
        <x:v>2025上半年</x:v>
      </x:c>
      <x:c r="C540" s="4" t="str">
        <x:v>基金个别</x:v>
      </x:c>
      <x:c r="D540" s="4" t="n">
        <x:v>8</x:v>
      </x:c>
      <x:c r="E540" s="4" t="str">
        <x:v>经营活动现金流入小计</x:v>
      </x:c>
      <x:c r="F540" s="8" t="n">
        <x:v>27990903.96</x:v>
      </x:c>
      <x:c r="G540" s="8" t="n">
        <x:v>81438172.91</x:v>
      </x:c>
      <x:c r="H540" s="4" t="str">
        <x:v>27,990,903.96</x:v>
      </x:c>
      <x:c r="I540" s="4" t="str">
        <x:v>81,438,172.91</x:v>
      </x:c>
      <x:c r="J540" s="4" t="str">
        <x:v>华夏越秀高速REIT_2025中报_20250830.pdf，PDF第37页，现金流量表</x:v>
      </x:c>
    </x:row>
    <x:row r="541" ht="32" customHeight="1">
      <x:c r="A541" s="4" t="str">
        <x:v>华夏越秀高速REIT</x:v>
      </x:c>
      <x:c r="B541" s="4" t="str">
        <x:v>2025上半年</x:v>
      </x:c>
      <x:c r="C541" s="4" t="str">
        <x:v>基金个别</x:v>
      </x:c>
      <x:c r="D541" s="4" t="n">
        <x:v>9</x:v>
      </x:c>
      <x:c r="E541" s="4" t="str">
        <x:v>8.取得基础设施投资支付的现金</x:v>
      </x:c>
      <x:c r="F541" s="8" t="n">
        <x:v>0</x:v>
      </x:c>
      <x:c r="G541" s="8" t="n">
        <x:v>0</x:v>
      </x:c>
      <x:c r="H541" s="4" t="str">
        <x:v>-</x:v>
      </x:c>
      <x:c r="I541" s="4" t="str">
        <x:v>-</x:v>
      </x:c>
      <x:c r="J541" s="4" t="str">
        <x:v>华夏越秀高速REIT_2025中报_20250830.pdf，PDF第37页，现金流量表</x:v>
      </x:c>
    </x:row>
    <x:row r="542" ht="32" customHeight="1">
      <x:c r="A542" s="4" t="str">
        <x:v>华夏越秀高速REIT</x:v>
      </x:c>
      <x:c r="B542" s="4" t="str">
        <x:v>2025上半年</x:v>
      </x:c>
      <x:c r="C542" s="4" t="str">
        <x:v>基金个别</x:v>
      </x:c>
      <x:c r="D542" s="4" t="n">
        <x:v>10</x:v>
      </x:c>
      <x:c r="E542" s="4" t="str">
        <x:v>9.取得证券投资支付的现金净额</x:v>
      </x:c>
      <x:c r="F542" s="8" t="n">
        <x:v>0</x:v>
      </x:c>
      <x:c r="G542" s="8" t="n">
        <x:v>0</x:v>
      </x:c>
      <x:c r="H542" s="4" t="str">
        <x:v>-</x:v>
      </x:c>
      <x:c r="I542" s="4" t="str">
        <x:v>-</x:v>
      </x:c>
      <x:c r="J542" s="4" t="str">
        <x:v>华夏越秀高速REIT_2025中报_20250830.pdf，PDF第37页，现金流量表</x:v>
      </x:c>
    </x:row>
    <x:row r="543" ht="32" customHeight="1">
      <x:c r="A543" s="4" t="str">
        <x:v>华夏越秀高速REIT</x:v>
      </x:c>
      <x:c r="B543" s="4" t="str">
        <x:v>2025上半年</x:v>
      </x:c>
      <x:c r="C543" s="4" t="str">
        <x:v>基金个别</x:v>
      </x:c>
      <x:c r="D543" s="4" t="n">
        <x:v>11</x:v>
      </x:c>
      <x:c r="E543" s="4" t="str">
        <x:v>10.买入返售金融资产净增加额</x:v>
      </x:c>
      <x:c r="F543" s="8" t="n">
        <x:v>0</x:v>
      </x:c>
      <x:c r="G543" s="8" t="n">
        <x:v>0</x:v>
      </x:c>
      <x:c r="H543" s="4" t="str">
        <x:v>-</x:v>
      </x:c>
      <x:c r="I543" s="4" t="str">
        <x:v>-</x:v>
      </x:c>
      <x:c r="J543" s="4" t="str">
        <x:v>华夏越秀高速REIT_2025中报_20250830.pdf，PDF第37页，现金流量表</x:v>
      </x:c>
    </x:row>
    <x:row r="544" ht="32" customHeight="1">
      <x:c r="A544" s="4" t="str">
        <x:v>华夏越秀高速REIT</x:v>
      </x:c>
      <x:c r="B544" s="4" t="str">
        <x:v>2025上半年</x:v>
      </x:c>
      <x:c r="C544" s="4" t="str">
        <x:v>基金个别</x:v>
      </x:c>
      <x:c r="D544" s="4" t="n">
        <x:v>12</x:v>
      </x:c>
      <x:c r="E544" s="4" t="str">
        <x:v>11.卖出回购金融资产款净减少额</x:v>
      </x:c>
      <x:c r="F544" s="8" t="n">
        <x:v>0</x:v>
      </x:c>
      <x:c r="G544" s="8" t="n">
        <x:v>0</x:v>
      </x:c>
      <x:c r="H544" s="4" t="str">
        <x:v>-</x:v>
      </x:c>
      <x:c r="I544" s="4" t="str">
        <x:v>-</x:v>
      </x:c>
      <x:c r="J544" s="4" t="str">
        <x:v>华夏越秀高速REIT_2025中报_20250830.pdf，PDF第37页，现金流量表</x:v>
      </x:c>
    </x:row>
    <x:row r="545" ht="32" customHeight="1">
      <x:c r="A545" s="4" t="str">
        <x:v>华夏越秀高速REIT</x:v>
      </x:c>
      <x:c r="B545" s="4" t="str">
        <x:v>2025上半年</x:v>
      </x:c>
      <x:c r="C545" s="4" t="str">
        <x:v>基金个别</x:v>
      </x:c>
      <x:c r="D545" s="4" t="n">
        <x:v>13</x:v>
      </x:c>
      <x:c r="E545" s="4" t="str">
        <x:v>12.支付的各项税费</x:v>
      </x:c>
      <x:c r="F545" s="8" t="n">
        <x:v>0</x:v>
      </x:c>
      <x:c r="G545" s="8" t="n">
        <x:v>0</x:v>
      </x:c>
      <x:c r="H545" s="4" t="str">
        <x:v>-</x:v>
      </x:c>
      <x:c r="I545" s="4" t="str">
        <x:v>-</x:v>
      </x:c>
      <x:c r="J545" s="4" t="str">
        <x:v>华夏越秀高速REIT_2025中报_20250830.pdf，PDF第37页，现金流量表</x:v>
      </x:c>
    </x:row>
    <x:row r="546" ht="32" customHeight="1">
      <x:c r="A546" s="4" t="str">
        <x:v>华夏越秀高速REIT</x:v>
      </x:c>
      <x:c r="B546" s="4" t="str">
        <x:v>2025上半年</x:v>
      </x:c>
      <x:c r="C546" s="4" t="str">
        <x:v>基金个别</x:v>
      </x:c>
      <x:c r="D546" s="4" t="n">
        <x:v>14</x:v>
      </x:c>
      <x:c r="E546" s="4" t="str">
        <x:v>13.支付其他与经营活动有关的现金</x:v>
      </x:c>
      <x:c r="F546" s="8" t="n">
        <x:v>8900422.19</x:v>
      </x:c>
      <x:c r="G546" s="8" t="n">
        <x:v>10197444.79</x:v>
      </x:c>
      <x:c r="H546" s="4" t="str">
        <x:v>8,900,422.19</x:v>
      </x:c>
      <x:c r="I546" s="4" t="str">
        <x:v>10,197,444.79</x:v>
      </x:c>
      <x:c r="J546" s="4" t="str">
        <x:v>华夏越秀高速REIT_2025中报_20250830.pdf，PDF第37页，现金流量表</x:v>
      </x:c>
    </x:row>
    <x:row r="547" ht="32" customHeight="1">
      <x:c r="A547" s="4" t="str">
        <x:v>华夏越秀高速REIT</x:v>
      </x:c>
      <x:c r="B547" s="4" t="str">
        <x:v>2025上半年</x:v>
      </x:c>
      <x:c r="C547" s="4" t="str">
        <x:v>基金个别</x:v>
      </x:c>
      <x:c r="D547" s="4" t="n">
        <x:v>15</x:v>
      </x:c>
      <x:c r="E547" s="4" t="str">
        <x:v>经营活动现金流出小计</x:v>
      </x:c>
      <x:c r="F547" s="8" t="n">
        <x:v>8900422.19</x:v>
      </x:c>
      <x:c r="G547" s="8" t="n">
        <x:v>10197444.79</x:v>
      </x:c>
      <x:c r="H547" s="4" t="str">
        <x:v>8,900,422.19</x:v>
      </x:c>
      <x:c r="I547" s="4" t="str">
        <x:v>10,197,444.79</x:v>
      </x:c>
      <x:c r="J547" s="4" t="str">
        <x:v>华夏越秀高速REIT_2025中报_20250830.pdf，PDF第37页，现金流量表</x:v>
      </x:c>
    </x:row>
    <x:row r="548" ht="32" customHeight="1">
      <x:c r="A548" s="4" t="str">
        <x:v>华夏越秀高速REIT</x:v>
      </x:c>
      <x:c r="B548" s="4" t="str">
        <x:v>2025上半年</x:v>
      </x:c>
      <x:c r="C548" s="4" t="str">
        <x:v>基金个别</x:v>
      </x:c>
      <x:c r="D548" s="4" t="n">
        <x:v>16</x:v>
      </x:c>
      <x:c r="E548" s="4" t="str">
        <x:v>经营活动产生的现金流量净额</x:v>
      </x:c>
      <x:c r="F548" s="8" t="n">
        <x:v>19090481.77</x:v>
      </x:c>
      <x:c r="G548" s="8" t="n">
        <x:v>71240728.12</x:v>
      </x:c>
      <x:c r="H548" s="4" t="str">
        <x:v>19,090,481.77</x:v>
      </x:c>
      <x:c r="I548" s="4" t="str">
        <x:v>71,240,728.12</x:v>
      </x:c>
      <x:c r="J548" s="4" t="str">
        <x:v>华夏越秀高速REIT_2025中报_20250830.pdf，PDF第37页，现金流量表</x:v>
      </x:c>
    </x:row>
    <x:row r="549" ht="32" customHeight="1">
      <x:c r="A549" s="4" t="str">
        <x:v>华夏越秀高速REIT</x:v>
      </x:c>
      <x:c r="B549" s="4" t="str">
        <x:v>2025上半年</x:v>
      </x:c>
      <x:c r="C549" s="4" t="str">
        <x:v>基金个别</x:v>
      </x:c>
      <x:c r="D549" s="4" t="n">
        <x:v>17</x:v>
      </x:c>
      <x:c r="E549" s="4" t="str">
        <x:v>14.认购／申购收到的现金</x:v>
      </x:c>
      <x:c r="F549" s="8" t="n">
        <x:v>0</x:v>
      </x:c>
      <x:c r="G549" s="8" t="n">
        <x:v>0</x:v>
      </x:c>
      <x:c r="H549" s="4" t="str">
        <x:v>-</x:v>
      </x:c>
      <x:c r="I549" s="4" t="str">
        <x:v>-</x:v>
      </x:c>
      <x:c r="J549" s="4" t="str">
        <x:v>华夏越秀高速REIT_2025中报_20250830.pdf，PDF第37页，现金流量表</x:v>
      </x:c>
    </x:row>
    <x:row r="550" ht="32" customHeight="1">
      <x:c r="A550" s="4" t="str">
        <x:v>华夏越秀高速REIT</x:v>
      </x:c>
      <x:c r="B550" s="4" t="str">
        <x:v>2025上半年</x:v>
      </x:c>
      <x:c r="C550" s="4" t="str">
        <x:v>基金个别</x:v>
      </x:c>
      <x:c r="D550" s="4" t="n">
        <x:v>18</x:v>
      </x:c>
      <x:c r="E550" s="4" t="str">
        <x:v>15.收到其他与筹资活动有关的现金</x:v>
      </x:c>
      <x:c r="F550" s="8" t="n">
        <x:v>0</x:v>
      </x:c>
      <x:c r="G550" s="8" t="n">
        <x:v>0</x:v>
      </x:c>
      <x:c r="H550" s="4" t="str">
        <x:v>-</x:v>
      </x:c>
      <x:c r="I550" s="4" t="str">
        <x:v>-</x:v>
      </x:c>
      <x:c r="J550" s="4" t="str">
        <x:v>华夏越秀高速REIT_2025中报_20250830.pdf，PDF第37页，现金流量表</x:v>
      </x:c>
    </x:row>
    <x:row r="551" ht="32" customHeight="1">
      <x:c r="A551" s="4" t="str">
        <x:v>华夏越秀高速REIT</x:v>
      </x:c>
      <x:c r="B551" s="4" t="str">
        <x:v>2025上半年</x:v>
      </x:c>
      <x:c r="C551" s="4" t="str">
        <x:v>基金个别</x:v>
      </x:c>
      <x:c r="D551" s="4" t="n">
        <x:v>19</x:v>
      </x:c>
      <x:c r="E551" s="4" t="str">
        <x:v>筹资活动现金流入小计</x:v>
      </x:c>
      <x:c r="F551" s="8" t="n">
        <x:v>0</x:v>
      </x:c>
      <x:c r="G551" s="8" t="n">
        <x:v>0</x:v>
      </x:c>
      <x:c r="H551" s="4" t="str">
        <x:v>-</x:v>
      </x:c>
      <x:c r="I551" s="4" t="str">
        <x:v>-</x:v>
      </x:c>
      <x:c r="J551" s="4" t="str">
        <x:v>华夏越秀高速REIT_2025中报_20250830.pdf，PDF第37页，现金流量表</x:v>
      </x:c>
    </x:row>
    <x:row r="552" ht="32" customHeight="1">
      <x:c r="A552" s="4" t="str">
        <x:v>华夏越秀高速REIT</x:v>
      </x:c>
      <x:c r="B552" s="4" t="str">
        <x:v>2025上半年</x:v>
      </x:c>
      <x:c r="C552" s="4" t="str">
        <x:v>基金个别</x:v>
      </x:c>
      <x:c r="D552" s="4" t="n">
        <x:v>20</x:v>
      </x:c>
      <x:c r="E552" s="4" t="str">
        <x:v>16.赎回支付的现金</x:v>
      </x:c>
      <x:c r="F552" s="8" t="n">
        <x:v>0</x:v>
      </x:c>
      <x:c r="G552" s="8" t="n">
        <x:v>0</x:v>
      </x:c>
      <x:c r="H552" s="4" t="str">
        <x:v>-</x:v>
      </x:c>
      <x:c r="I552" s="4" t="str">
        <x:v>-</x:v>
      </x:c>
      <x:c r="J552" s="4" t="str">
        <x:v>华夏越秀高速REIT_2025中报_20250830.pdf，PDF第37页，现金流量表</x:v>
      </x:c>
    </x:row>
    <x:row r="553" ht="32" customHeight="1">
      <x:c r="A553" s="4" t="str">
        <x:v>华夏越秀高速REIT</x:v>
      </x:c>
      <x:c r="B553" s="4" t="str">
        <x:v>2025上半年</x:v>
      </x:c>
      <x:c r="C553" s="4" t="str">
        <x:v>基金个别</x:v>
      </x:c>
      <x:c r="D553" s="4" t="n">
        <x:v>21</x:v>
      </x:c>
      <x:c r="E553" s="4" t="str">
        <x:v>17.偿付利息支付的现金</x:v>
      </x:c>
      <x:c r="F553" s="8" t="n">
        <x:v>0</x:v>
      </x:c>
      <x:c r="G553" s="8" t="n">
        <x:v>0</x:v>
      </x:c>
      <x:c r="H553" s="4" t="str">
        <x:v>-</x:v>
      </x:c>
      <x:c r="I553" s="4" t="str">
        <x:v>-</x:v>
      </x:c>
      <x:c r="J553" s="4" t="str">
        <x:v>华夏越秀高速REIT_2025中报_20250830.pdf，PDF第37页，现金流量表</x:v>
      </x:c>
    </x:row>
    <x:row r="554" ht="32" customHeight="1">
      <x:c r="A554" s="4" t="str">
        <x:v>华夏越秀高速REIT</x:v>
      </x:c>
      <x:c r="B554" s="4" t="str">
        <x:v>2025上半年</x:v>
      </x:c>
      <x:c r="C554" s="4" t="str">
        <x:v>基金个别</x:v>
      </x:c>
      <x:c r="D554" s="4" t="n">
        <x:v>22</x:v>
      </x:c>
      <x:c r="E554" s="4" t="str">
        <x:v>18.分配支付的现金</x:v>
      </x:c>
      <x:c r="F554" s="8" t="n">
        <x:v>24605900.74</x:v>
      </x:c>
      <x:c r="G554" s="8" t="n">
        <x:v>73220629.65</x:v>
      </x:c>
      <x:c r="H554" s="4" t="str">
        <x:v>24,605,900.74</x:v>
      </x:c>
      <x:c r="I554" s="4" t="str">
        <x:v>73,220,629.65</x:v>
      </x:c>
      <x:c r="J554" s="4" t="str">
        <x:v>华夏越秀高速REIT_2025中报_20250830.pdf，PDF第37页，现金流量表</x:v>
      </x:c>
    </x:row>
    <x:row r="555" ht="32" customHeight="1">
      <x:c r="A555" s="4" t="str">
        <x:v>华夏越秀高速REIT</x:v>
      </x:c>
      <x:c r="B555" s="4" t="str">
        <x:v>2025上半年</x:v>
      </x:c>
      <x:c r="C555" s="4" t="str">
        <x:v>基金个别</x:v>
      </x:c>
      <x:c r="D555" s="4" t="n">
        <x:v>23</x:v>
      </x:c>
      <x:c r="E555" s="4" t="str">
        <x:v>19.支付其他与筹资活动有关的现金</x:v>
      </x:c>
      <x:c r="F555" s="8" t="n">
        <x:v>0</x:v>
      </x:c>
      <x:c r="G555" s="8" t="n">
        <x:v>0</x:v>
      </x:c>
      <x:c r="H555" s="4" t="str">
        <x:v>-</x:v>
      </x:c>
      <x:c r="I555" s="4" t="str">
        <x:v>-</x:v>
      </x:c>
      <x:c r="J555" s="4" t="str">
        <x:v>华夏越秀高速REIT_2025中报_20250830.pdf，PDF第37页，现金流量表</x:v>
      </x:c>
    </x:row>
    <x:row r="556" ht="32" customHeight="1">
      <x:c r="A556" s="4" t="str">
        <x:v>华夏越秀高速REIT</x:v>
      </x:c>
      <x:c r="B556" s="4" t="str">
        <x:v>2025上半年</x:v>
      </x:c>
      <x:c r="C556" s="4" t="str">
        <x:v>基金个别</x:v>
      </x:c>
      <x:c r="D556" s="4" t="n">
        <x:v>24</x:v>
      </x:c>
      <x:c r="E556" s="4" t="str">
        <x:v>筹资活动现金流出小计</x:v>
      </x:c>
      <x:c r="F556" s="8" t="n">
        <x:v>24605900.74</x:v>
      </x:c>
      <x:c r="G556" s="8" t="n">
        <x:v>73220629.65</x:v>
      </x:c>
      <x:c r="H556" s="4" t="str">
        <x:v>24,605,900.74</x:v>
      </x:c>
      <x:c r="I556" s="4" t="str">
        <x:v>73,220,629.65</x:v>
      </x:c>
      <x:c r="J556" s="4" t="str">
        <x:v>华夏越秀高速REIT_2025中报_20250830.pdf，PDF第37页，现金流量表</x:v>
      </x:c>
    </x:row>
    <x:row r="557" ht="32" customHeight="1">
      <x:c r="A557" s="4" t="str">
        <x:v>华夏越秀高速REIT</x:v>
      </x:c>
      <x:c r="B557" s="4" t="str">
        <x:v>2025上半年</x:v>
      </x:c>
      <x:c r="C557" s="4" t="str">
        <x:v>基金个别</x:v>
      </x:c>
      <x:c r="D557" s="4" t="n">
        <x:v>25</x:v>
      </x:c>
      <x:c r="E557" s="4" t="str">
        <x:v>筹资活动产生的现金流量净额</x:v>
      </x:c>
      <x:c r="F557" s="8" t="n">
        <x:v>-24605900.74</x:v>
      </x:c>
      <x:c r="G557" s="8" t="n">
        <x:v>-73220629.65</x:v>
      </x:c>
      <x:c r="H557" s="4" t="str">
        <x:v>-24,605,900.74</x:v>
      </x:c>
      <x:c r="I557" s="4" t="str">
        <x:v>-73,220,629.65</x:v>
      </x:c>
      <x:c r="J557" s="4" t="str">
        <x:v>华夏越秀高速REIT_2025中报_20250830.pdf，PDF第37页，现金流量表</x:v>
      </x:c>
    </x:row>
    <x:row r="558" ht="32" customHeight="1">
      <x:c r="A558" s="4" t="str">
        <x:v>华夏越秀高速REIT</x:v>
      </x:c>
      <x:c r="B558" s="4" t="str">
        <x:v>2025上半年</x:v>
      </x:c>
      <x:c r="C558" s="4" t="str">
        <x:v>基金个别</x:v>
      </x:c>
      <x:c r="D558" s="4" t="n">
        <x:v>26</x:v>
      </x:c>
      <x:c r="E558" s="4" t="str">
        <x:v>三、汇率变动对现金及现金等价物的影响</x:v>
      </x:c>
      <x:c r="F558" s="8" t="n">
        <x:v>0</x:v>
      </x:c>
      <x:c r="G558" s="8" t="n">
        <x:v>0</x:v>
      </x:c>
      <x:c r="H558" s="4" t="str">
        <x:v>-</x:v>
      </x:c>
      <x:c r="I558" s="4" t="str">
        <x:v>-</x:v>
      </x:c>
      <x:c r="J558" s="4" t="str">
        <x:v>华夏越秀高速REIT_2025中报_20250830.pdf，PDF第37页，现金流量表</x:v>
      </x:c>
    </x:row>
    <x:row r="559" ht="32" customHeight="1">
      <x:c r="A559" s="4" t="str">
        <x:v>华夏越秀高速REIT</x:v>
      </x:c>
      <x:c r="B559" s="4" t="str">
        <x:v>2025上半年</x:v>
      </x:c>
      <x:c r="C559" s="4" t="str">
        <x:v>基金个别</x:v>
      </x:c>
      <x:c r="D559" s="4" t="n">
        <x:v>27</x:v>
      </x:c>
      <x:c r="E559" s="4" t="str">
        <x:v>四、现金及现金等价物净增加额</x:v>
      </x:c>
      <x:c r="F559" s="8" t="n">
        <x:v>-5515418.97</x:v>
      </x:c>
      <x:c r="G559" s="8" t="n">
        <x:v>-1979901.53</x:v>
      </x:c>
      <x:c r="H559" s="4" t="str">
        <x:v>-5,515,418.97</x:v>
      </x:c>
      <x:c r="I559" s="4" t="str">
        <x:v>-1,979,901.53</x:v>
      </x:c>
      <x:c r="J559" s="4" t="str">
        <x:v>华夏越秀高速REIT_2025中报_20250830.pdf，PDF第37页，现金流量表</x:v>
      </x:c>
    </x:row>
    <x:row r="560" ht="32" customHeight="1">
      <x:c r="A560" s="4" t="str">
        <x:v>华夏越秀高速REIT</x:v>
      </x:c>
      <x:c r="B560" s="4" t="str">
        <x:v>2025上半年</x:v>
      </x:c>
      <x:c r="C560" s="4" t="str">
        <x:v>基金个别</x:v>
      </x:c>
      <x:c r="D560" s="4" t="n">
        <x:v>28</x:v>
      </x:c>
      <x:c r="E560" s="4" t="str">
        <x:v>加：期初现金及现金等价物余额</x:v>
      </x:c>
      <x:c r="F560" s="8" t="n">
        <x:v>6362366.44</x:v>
      </x:c>
      <x:c r="G560" s="8" t="n">
        <x:v>5984456.36</x:v>
      </x:c>
      <x:c r="H560" s="4" t="str">
        <x:v>6,362,366.44</x:v>
      </x:c>
      <x:c r="I560" s="4" t="str">
        <x:v>5,984,456.36</x:v>
      </x:c>
      <x:c r="J560" s="4" t="str">
        <x:v>华夏越秀高速REIT_2025中报_20250830.pdf，PDF第37页，现金流量表</x:v>
      </x:c>
    </x:row>
    <x:row r="561" ht="32" customHeight="1">
      <x:c r="A561" s="4" t="str">
        <x:v>华夏越秀高速REIT</x:v>
      </x:c>
      <x:c r="B561" s="4" t="str">
        <x:v>2025上半年</x:v>
      </x:c>
      <x:c r="C561" s="4" t="str">
        <x:v>基金个别</x:v>
      </x:c>
      <x:c r="D561" s="4" t="n">
        <x:v>29</x:v>
      </x:c>
      <x:c r="E561" s="4" t="str">
        <x:v>五、期末现金及现金等价物余额</x:v>
      </x:c>
      <x:c r="F561" s="8" t="n">
        <x:v>846947.47</x:v>
      </x:c>
      <x:c r="G561" s="8" t="n">
        <x:v>4004554.83</x:v>
      </x:c>
      <x:c r="H561" s="4" t="str">
        <x:v>846,947.47</x:v>
      </x:c>
      <x:c r="I561" s="4" t="str">
        <x:v>4,004,554.83</x:v>
      </x:c>
      <x:c r="J561" s="4" t="str">
        <x:v>华夏越秀高速REIT_2025中报_20250830.pdf，PDF第37页，现金流量表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85" hidden="0" customWidth="1"/>
  </x:cols>
  <x:sheetData>
    <x:row r="1" ht="36" customHeight="1">
      <x:c r="A1" s="6" t="str">
        <x:v>产品</x:v>
      </x:c>
      <x:c r="B1" s="6" t="str">
        <x:v>报告期</x:v>
      </x:c>
      <x:c r="C1" s="6" t="str">
        <x:v>主体</x:v>
      </x:c>
      <x:c r="D1" s="6" t="str">
        <x:v>列期间</x:v>
      </x:c>
      <x:c r="E1" s="6" t="str">
        <x:v>经营流入计算</x:v>
      </x:c>
      <x:c r="F1" s="6" t="str">
        <x:v>经营流入披露</x:v>
      </x:c>
      <x:c r="G1" s="6" t="str">
        <x:v>经营流出计算</x:v>
      </x:c>
      <x:c r="H1" s="6" t="str">
        <x:v>经营流出披露</x:v>
      </x:c>
      <x:c r="I1" s="6" t="str">
        <x:v>投资流入计算</x:v>
      </x:c>
      <x:c r="J1" s="6" t="str">
        <x:v>投资流入披露</x:v>
      </x:c>
      <x:c r="K1" s="6" t="str">
        <x:v>投资流出计算</x:v>
      </x:c>
      <x:c r="L1" s="6" t="str">
        <x:v>投资流出披露</x:v>
      </x:c>
      <x:c r="M1" s="6" t="str">
        <x:v>筹资流入计算</x:v>
      </x:c>
      <x:c r="N1" s="6" t="str">
        <x:v>筹资流入披露</x:v>
      </x:c>
      <x:c r="O1" s="6" t="str">
        <x:v>筹资流出计算</x:v>
      </x:c>
      <x:c r="P1" s="6" t="str">
        <x:v>筹资流出披露</x:v>
      </x:c>
      <x:c r="Q1" s="6" t="str">
        <x:v>经营净额计算</x:v>
      </x:c>
      <x:c r="R1" s="6" t="str">
        <x:v>投资净额计算</x:v>
      </x:c>
      <x:c r="S1" s="6" t="str">
        <x:v>筹资净额计算</x:v>
      </x:c>
      <x:c r="T1" s="6" t="str">
        <x:v>汇率影响</x:v>
      </x:c>
      <x:c r="U1" s="6" t="str">
        <x:v>净增加计算</x:v>
      </x:c>
      <x:c r="V1" s="6" t="str">
        <x:v>净增加披露</x:v>
      </x:c>
      <x:c r="W1" s="6" t="str">
        <x:v>净增加残差</x:v>
      </x:c>
      <x:c r="X1" s="6" t="str">
        <x:v>期初余额</x:v>
      </x:c>
      <x:c r="Y1" s="6" t="str">
        <x:v>期末计算</x:v>
      </x:c>
      <x:c r="Z1" s="6" t="str">
        <x:v>期末披露</x:v>
      </x:c>
      <x:c r="AA1" s="6" t="str">
        <x:v>期末残差</x:v>
      </x:c>
      <x:c r="AB1" s="6" t="str">
        <x:v>小计最大绝对残差</x:v>
      </x:c>
      <x:c r="AC1" s="6" t="str">
        <x:v>经营净额披露</x:v>
      </x:c>
      <x:c r="AD1" s="6" t="str">
        <x:v>投资净额披露</x:v>
      </x:c>
      <x:c r="AE1" s="6" t="str">
        <x:v>筹资净额披露</x:v>
      </x:c>
      <x:c r="AF1" s="6" t="str">
        <x:v>经营净额残差</x:v>
      </x:c>
      <x:c r="AG1" s="6" t="str">
        <x:v>投资净额残差</x:v>
      </x:c>
      <x:c r="AH1" s="6" t="str">
        <x:v>筹资净额残差</x:v>
      </x:c>
      <x:c r="AI1" s="6" t="str">
        <x:v>出处</x:v>
      </x:c>
    </x:row>
    <x:row r="2" ht="42" customHeight="1">
      <x:c r="A2" s="4" t="str">
        <x:v>华夏北京保障房REIT</x:v>
      </x:c>
      <x:c r="B2" s="4" t="str">
        <x:v>2024年度</x:v>
      </x:c>
      <x:c r="C2" s="4" t="str">
        <x:v>合并</x:v>
      </x:c>
      <x:c r="D2" s="4" t="str">
        <x:v>本期</x:v>
      </x:c>
      <x:c r="E2" s="8" t="n">
        <x:f>SUM('现金流原表'!F2:F8)</x:f>
        <x:v>71660239.00000001</x:v>
      </x:c>
      <x:c r="F2" s="8" t="n">
        <x:f>'现金流原表'!F9</x:f>
        <x:v>71660239</x:v>
      </x:c>
      <x:c r="G2" s="8" t="n">
        <x:f>SUM('现金流原表'!F10:F16)</x:f>
        <x:v>19222998.42</x:v>
      </x:c>
      <x:c r="H2" s="8" t="n">
        <x:f>'现金流原表'!F17</x:f>
        <x:v>19222998.42</x:v>
      </x:c>
      <x:c r="I2" s="8" t="n">
        <x:f>SUM('现金流原表'!F19:F21)</x:f>
        <x:v>36868479.73</x:v>
      </x:c>
      <x:c r="J2" s="8" t="n">
        <x:f>'现金流原表'!F22</x:f>
        <x:v>36868479.73</x:v>
      </x:c>
      <x:c r="K2" s="8" t="n">
        <x:f>SUM('现金流原表'!F23:F25)</x:f>
        <x:v>45403554.86</x:v>
      </x:c>
      <x:c r="L2" s="8" t="n">
        <x:f>'现金流原表'!F26</x:f>
        <x:v>45403554.86</x:v>
      </x:c>
      <x:c r="M2" s="8" t="n">
        <x:f>SUM('现金流原表'!F28:F30)</x:f>
        <x:v>0</x:v>
      </x:c>
      <x:c r="N2" s="8" t="n">
        <x:f>'现金流原表'!F31</x:f>
        <x:v>0</x:v>
      </x:c>
      <x:c r="O2" s="8" t="n">
        <x:f>SUM('现金流原表'!F32:F36)</x:f>
        <x:v>54360053.69</x:v>
      </x:c>
      <x:c r="P2" s="8" t="n">
        <x:f>'现金流原表'!F37</x:f>
        <x:v>54360053.69</x:v>
      </x:c>
      <x:c r="Q2" s="8" t="n">
        <x:f>E2-G2</x:f>
        <x:v>52437240.58000001</x:v>
      </x:c>
      <x:c r="R2" s="8" t="n">
        <x:f>I2-K2</x:f>
        <x:v>-8535075.130000003</x:v>
      </x:c>
      <x:c r="S2" s="8" t="n">
        <x:f>M2-O2</x:f>
        <x:v>-54360053.69</x:v>
      </x:c>
      <x:c r="T2" s="8" t="n">
        <x:f>'现金流原表'!F39</x:f>
        <x:v>0</x:v>
      </x:c>
      <x:c r="U2" s="8" t="n">
        <x:f>SUM(Q2:T2)</x:f>
        <x:v>-10457888.239999987</x:v>
      </x:c>
      <x:c r="V2" s="8" t="n">
        <x:f>'现金流原表'!F40</x:f>
        <x:v>-10457888.24</x:v>
      </x:c>
      <x:c r="W2" s="8" t="n">
        <x:f>U2-V2</x:f>
        <x:v>1.30385160446167e-8</x:v>
      </x:c>
      <x:c r="X2" s="8" t="n">
        <x:f>'现金流原表'!F41</x:f>
        <x:v>17745165.09</x:v>
      </x:c>
      <x:c r="Y2" s="8" t="n">
        <x:f>X2+U2</x:f>
        <x:v>7287276.850000013</x:v>
      </x:c>
      <x:c r="Z2" s="8" t="n">
        <x:f>'现金流原表'!F42</x:f>
        <x:v>7287276.85</x:v>
      </x:c>
      <x:c r="AA2" s="8" t="n">
        <x:f>Y2-Z2</x:f>
        <x:v>1.30385160446167e-8</x:v>
      </x:c>
      <x:c r="AB2" s="8" t="n">
        <x:f>MAX(ABS(E2-F2),ABS(G2-H2),ABS(I2-J2),ABS(K2-L2),ABS(M2-N2),ABS(O2-P2))</x:f>
        <x:v>1.4901161193847656e-8</x:v>
      </x:c>
      <x:c r="AC2" s="8" t="n">
        <x:f>'现金流原表'!F18</x:f>
        <x:v>52437240.58</x:v>
      </x:c>
      <x:c r="AD2" s="8" t="n">
        <x:f>'现金流原表'!F27</x:f>
        <x:v>-8535075.13</x:v>
      </x:c>
      <x:c r="AE2" s="8" t="n">
        <x:f>'现金流原表'!F38</x:f>
        <x:v>-54360053.69</x:v>
      </x:c>
      <x:c r="AF2" s="8" t="n">
        <x:f>Q2-AC2</x:f>
        <x:v>1.4901161193847656e-8</x:v>
      </x:c>
      <x:c r="AG2" s="8" t="n">
        <x:f>R2-AD2</x:f>
        <x:v>-1.862645149230957e-9</x:v>
      </x:c>
      <x:c r="AH2" s="8" t="n">
        <x:f>S2-AE2</x:f>
        <x:v>0</x:v>
      </x:c>
      <x:c r="AI2" s="4" t="str">
        <x:v>华夏北京保障房REIT_2024年报_20250331.pdf，现金流量表；原表底稿按逐行物理页定位</x:v>
      </x:c>
    </x:row>
    <x:row r="3" ht="42" customHeight="1">
      <x:c r="A3" s="4" t="str">
        <x:v>华夏北京保障房REIT</x:v>
      </x:c>
      <x:c r="B3" s="4" t="str">
        <x:v>2024年度</x:v>
      </x:c>
      <x:c r="C3" s="4" t="str">
        <x:v>合并</x:v>
      </x:c>
      <x:c r="D3" s="4" t="str">
        <x:v>原表比较期间</x:v>
      </x:c>
      <x:c r="E3" s="8" t="n">
        <x:f>SUM('现金流原表'!G2:G8)</x:f>
        <x:v>72907062.24</x:v>
      </x:c>
      <x:c r="F3" s="8" t="n">
        <x:f>'现金流原表'!G9</x:f>
        <x:v>72907062.24</x:v>
      </x:c>
      <x:c r="G3" s="8" t="n">
        <x:f>SUM('现金流原表'!G10:G16)</x:f>
        <x:v>18730334.71</x:v>
      </x:c>
      <x:c r="H3" s="8" t="n">
        <x:f>'现金流原表'!G17</x:f>
        <x:v>18730334.71</x:v>
      </x:c>
      <x:c r="I3" s="8" t="n">
        <x:f>SUM('现金流原表'!G19:G21)</x:f>
        <x:v>7000000</x:v>
      </x:c>
      <x:c r="J3" s="8" t="n">
        <x:f>'现金流原表'!G22</x:f>
        <x:v>7000000</x:v>
      </x:c>
      <x:c r="K3" s="8" t="n">
        <x:f>SUM('现金流原表'!G23:G25)</x:f>
        <x:v>42000000</x:v>
      </x:c>
      <x:c r="L3" s="8" t="n">
        <x:f>'现金流原表'!G26</x:f>
        <x:v>42000000</x:v>
      </x:c>
      <x:c r="M3" s="8" t="n">
        <x:f>SUM('现金流原表'!G28:G30)</x:f>
        <x:v>0</x:v>
      </x:c>
      <x:c r="N3" s="8" t="n">
        <x:f>'现金流原表'!G31</x:f>
        <x:v>0</x:v>
      </x:c>
      <x:c r="O3" s="8" t="n">
        <x:f>SUM('现金流原表'!G32:G36)</x:f>
        <x:v>46645084.66</x:v>
      </x:c>
      <x:c r="P3" s="8" t="n">
        <x:f>'现金流原表'!G37</x:f>
        <x:v>46645084.66</x:v>
      </x:c>
      <x:c r="Q3" s="8" t="n">
        <x:f>E3-G3</x:f>
        <x:v>54176727.529999994</x:v>
      </x:c>
      <x:c r="R3" s="8" t="n">
        <x:f>I3-K3</x:f>
        <x:v>-35000000</x:v>
      </x:c>
      <x:c r="S3" s="8" t="n">
        <x:f>M3-O3</x:f>
        <x:v>-46645084.66</x:v>
      </x:c>
      <x:c r="T3" s="8" t="n">
        <x:f>'现金流原表'!G39</x:f>
        <x:v>0</x:v>
      </x:c>
      <x:c r="U3" s="8" t="n">
        <x:f>SUM(Q3:T3)</x:f>
        <x:v>-27468357.130000003</x:v>
      </x:c>
      <x:c r="V3" s="8" t="n">
        <x:f>'现金流原表'!G40</x:f>
        <x:v>-27468357.13</x:v>
      </x:c>
      <x:c r="W3" s="8" t="n">
        <x:f>U3-V3</x:f>
        <x:v>-3.725290298461914e-9</x:v>
      </x:c>
      <x:c r="X3" s="8" t="n">
        <x:f>'现金流原表'!G41</x:f>
        <x:v>45213522.22</x:v>
      </x:c>
      <x:c r="Y3" s="8" t="n">
        <x:f>X3+U3</x:f>
        <x:v>17745165.089999996</x:v>
      </x:c>
      <x:c r="Z3" s="8" t="n">
        <x:f>'现金流原表'!G42</x:f>
        <x:v>17745165.09</x:v>
      </x:c>
      <x:c r="AA3" s="8" t="n">
        <x:f>Y3-Z3</x:f>
        <x:v>-3.725290298461914e-9</x:v>
      </x:c>
      <x:c r="AB3" s="8" t="n">
        <x:f>MAX(ABS(E3-F3),ABS(G3-H3),ABS(I3-J3),ABS(K3-L3),ABS(M3-N3),ABS(O3-P3))</x:f>
        <x:v>0</x:v>
      </x:c>
      <x:c r="AC3" s="8" t="n">
        <x:f>'现金流原表'!G18</x:f>
        <x:v>54176727.53</x:v>
      </x:c>
      <x:c r="AD3" s="8" t="n">
        <x:f>'现金流原表'!G27</x:f>
        <x:v>-35000000</x:v>
      </x:c>
      <x:c r="AE3" s="8" t="n">
        <x:f>'现金流原表'!G38</x:f>
        <x:v>-46645084.66</x:v>
      </x:c>
      <x:c r="AF3" s="8" t="n">
        <x:f>Q3-AC3</x:f>
        <x:v>-7.450580596923828e-9</x:v>
      </x:c>
      <x:c r="AG3" s="8" t="n">
        <x:f>R3-AD3</x:f>
        <x:v>0</x:v>
      </x:c>
      <x:c r="AH3" s="8" t="n">
        <x:f>S3-AE3</x:f>
        <x:v>0</x:v>
      </x:c>
      <x:c r="AI3" s="4" t="str">
        <x:v>华夏北京保障房REIT_2024年报_20250331.pdf，现金流量表；原表底稿按逐行物理页定位</x:v>
      </x:c>
    </x:row>
    <x:row r="4" ht="42" customHeight="1">
      <x:c r="A4" s="4" t="str">
        <x:v>华夏北京保障房REIT</x:v>
      </x:c>
      <x:c r="B4" s="4" t="str">
        <x:v>2024年度</x:v>
      </x:c>
      <x:c r="C4" s="4" t="str">
        <x:v>基金个别</x:v>
      </x:c>
      <x:c r="D4" s="4" t="str">
        <x:v>本期</x:v>
      </x:c>
      <x:c r="E4" s="8" t="n">
        <x:f>SUM('现金流原表'!F43:F49)</x:f>
        <x:v>55509502.51</x:v>
      </x:c>
      <x:c r="F4" s="8" t="n">
        <x:f>'现金流原表'!F50</x:f>
        <x:v>55509502.51</x:v>
      </x:c>
      <x:c r="G4" s="8" t="n">
        <x:f>SUM('现金流原表'!F51:F56)</x:f>
        <x:v>2361008.28</x:v>
      </x:c>
      <x:c r="H4" s="8" t="n">
        <x:f>'现金流原表'!F57</x:f>
        <x:v>2361008.28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n">
        <x:f>SUM('现金流原表'!F59:F60)</x:f>
        <x:v>0</x:v>
      </x:c>
      <x:c r="N4" s="8" t="n">
        <x:f>'现金流原表'!F61</x:f>
        <x:v>0</x:v>
      </x:c>
      <x:c r="O4" s="8" t="n">
        <x:f>SUM('现金流原表'!F62:F65)</x:f>
        <x:v>54360053.69</x:v>
      </x:c>
      <x:c r="P4" s="8" t="n">
        <x:f>'现金流原表'!F66</x:f>
        <x:v>54360053.69</x:v>
      </x:c>
      <x:c r="Q4" s="8" t="n">
        <x:f>E4-G4</x:f>
        <x:v>53148494.23</x:v>
      </x:c>
      <x:c r="R4" s="8" t="n">
        <x:f>I4-K4</x:f>
        <x:v>0</x:v>
      </x:c>
      <x:c r="S4" s="8" t="n">
        <x:f>M4-O4</x:f>
        <x:v>-54360053.69</x:v>
      </x:c>
      <x:c r="T4" s="8" t="n">
        <x:f>'现金流原表'!F68</x:f>
        <x:v>0</x:v>
      </x:c>
      <x:c r="U4" s="8" t="n">
        <x:f>SUM(Q4:T4)</x:f>
        <x:v>-1211559.460000001</x:v>
      </x:c>
      <x:c r="V4" s="8" t="n">
        <x:f>'现金流原表'!F69</x:f>
        <x:v>-1211559.46</x:v>
      </x:c>
      <x:c r="W4" s="8" t="n">
        <x:f>U4-V4</x:f>
        <x:v>-9.313225746154785e-10</x:v>
      </x:c>
      <x:c r="X4" s="8" t="n">
        <x:f>'现金流原表'!F70</x:f>
        <x:v>3142522.61</x:v>
      </x:c>
      <x:c r="Y4" s="8" t="n">
        <x:f>X4+U4</x:f>
        <x:v>1930963.149999999</x:v>
      </x:c>
      <x:c r="Z4" s="8" t="n">
        <x:f>'现金流原表'!F71</x:f>
        <x:v>1930963.15</x:v>
      </x:c>
      <x:c r="AA4" s="8" t="n">
        <x:f>Y4-Z4</x:f>
        <x:v>-9.313225746154785e-10</x:v>
      </x:c>
      <x:c r="AB4" s="8" t="n">
        <x:f>MAX(ABS(E4-F4),ABS(G4-H4),ABS(I4-J4),ABS(K4-L4),ABS(M4-N4),ABS(O4-P4))</x:f>
        <x:v>0</x:v>
      </x:c>
      <x:c r="AC4" s="8" t="n">
        <x:f>'现金流原表'!F58</x:f>
        <x:v>53148494.23</x:v>
      </x:c>
      <x:c r="AD4" s="8" t="n">
        <x:v>0</x:v>
      </x:c>
      <x:c r="AE4" s="8" t="n">
        <x:f>'现金流原表'!F67</x:f>
        <x:v>-54360053.69</x:v>
      </x:c>
      <x:c r="AF4" s="8" t="n">
        <x:f>Q4-AC4</x:f>
        <x:v>0</x:v>
      </x:c>
      <x:c r="AG4" s="8" t="n">
        <x:f>R4-AD4</x:f>
        <x:v>0</x:v>
      </x:c>
      <x:c r="AH4" s="8" t="n">
        <x:f>S4-AE4</x:f>
        <x:v>0</x:v>
      </x:c>
      <x:c r="AI4" s="4" t="str">
        <x:v>华夏北京保障房REIT_2024年报_20250331.pdf，现金流量表；原表底稿按逐行物理页定位</x:v>
      </x:c>
    </x:row>
    <x:row r="5" ht="42" customHeight="1">
      <x:c r="A5" s="4" t="str">
        <x:v>华夏北京保障房REIT</x:v>
      </x:c>
      <x:c r="B5" s="4" t="str">
        <x:v>2024年度</x:v>
      </x:c>
      <x:c r="C5" s="4" t="str">
        <x:v>基金个别</x:v>
      </x:c>
      <x:c r="D5" s="4" t="str">
        <x:v>原表比较期间</x:v>
      </x:c>
      <x:c r="E5" s="8" t="n">
        <x:f>SUM('现金流原表'!G43:G49)</x:f>
        <x:v>45447444.73</x:v>
      </x:c>
      <x:c r="F5" s="8" t="n">
        <x:f>'现金流原表'!G50</x:f>
        <x:v>45447444.73</x:v>
      </x:c>
      <x:c r="G5" s="8" t="n">
        <x:f>SUM('现金流原表'!G51:G56)</x:f>
        <x:v>145406.88</x:v>
      </x:c>
      <x:c r="H5" s="8" t="n">
        <x:f>'现金流原表'!G57</x:f>
        <x:v>145406.88</x:v>
      </x:c>
      <x:c r="I5" s="8" t="n">
        <x:v>0</x:v>
      </x:c>
      <x:c r="J5" s="8" t="n">
        <x:v>0</x:v>
      </x:c>
      <x:c r="K5" s="8" t="n">
        <x:v>0</x:v>
      </x:c>
      <x:c r="L5" s="8" t="n">
        <x:v>0</x:v>
      </x:c>
      <x:c r="M5" s="8" t="n">
        <x:f>SUM('现金流原表'!G59:G60)</x:f>
        <x:v>0</x:v>
      </x:c>
      <x:c r="N5" s="8" t="n">
        <x:f>'现金流原表'!G61</x:f>
        <x:v>0</x:v>
      </x:c>
      <x:c r="O5" s="8" t="n">
        <x:f>SUM('现金流原表'!G62:G65)</x:f>
        <x:v>46645084.66</x:v>
      </x:c>
      <x:c r="P5" s="8" t="n">
        <x:f>'现金流原表'!G66</x:f>
        <x:v>46645084.66</x:v>
      </x:c>
      <x:c r="Q5" s="8" t="n">
        <x:f>E5-G5</x:f>
        <x:v>45302037.849999994</x:v>
      </x:c>
      <x:c r="R5" s="8" t="n">
        <x:f>I5-K5</x:f>
        <x:v>0</x:v>
      </x:c>
      <x:c r="S5" s="8" t="n">
        <x:f>M5-O5</x:f>
        <x:v>-46645084.66</x:v>
      </x:c>
      <x:c r="T5" s="8" t="n">
        <x:f>'现金流原表'!G68</x:f>
        <x:v>0</x:v>
      </x:c>
      <x:c r="U5" s="8" t="n">
        <x:f>SUM(Q5:T5)</x:f>
        <x:v>-1343046.8100000024</x:v>
      </x:c>
      <x:c r="V5" s="8" t="n">
        <x:f>'现金流原表'!G69</x:f>
        <x:v>-1343046.81</x:v>
      </x:c>
      <x:c r="W5" s="8" t="n">
        <x:f>U5-V5</x:f>
        <x:v>-2.3283064365386963e-9</x:v>
      </x:c>
      <x:c r="X5" s="8" t="n">
        <x:f>'现金流原表'!G70</x:f>
        <x:v>4485569.42</x:v>
      </x:c>
      <x:c r="Y5" s="8" t="n">
        <x:f>X5+U5</x:f>
        <x:v>3142522.6099999975</x:v>
      </x:c>
      <x:c r="Z5" s="8" t="n">
        <x:f>'现金流原表'!G71</x:f>
        <x:v>3142522.61</x:v>
      </x:c>
      <x:c r="AA5" s="8" t="n">
        <x:f>Y5-Z5</x:f>
        <x:v>-2.3283064365386963e-9</x:v>
      </x:c>
      <x:c r="AB5" s="8" t="n">
        <x:f>MAX(ABS(E5-F5),ABS(G5-H5),ABS(I5-J5),ABS(K5-L5),ABS(M5-N5),ABS(O5-P5))</x:f>
        <x:v>0</x:v>
      </x:c>
      <x:c r="AC5" s="8" t="n">
        <x:f>'现金流原表'!G58</x:f>
        <x:v>45302037.85</x:v>
      </x:c>
      <x:c r="AD5" s="8" t="n">
        <x:v>0</x:v>
      </x:c>
      <x:c r="AE5" s="8" t="n">
        <x:f>'现金流原表'!G67</x:f>
        <x:v>-46645084.66</x:v>
      </x:c>
      <x:c r="AF5" s="8" t="n">
        <x:f>Q5-AC5</x:f>
        <x:v>-7.450580596923828e-9</x:v>
      </x:c>
      <x:c r="AG5" s="8" t="n">
        <x:f>R5-AD5</x:f>
        <x:v>0</x:v>
      </x:c>
      <x:c r="AH5" s="8" t="n">
        <x:f>S5-AE5</x:f>
        <x:v>0</x:v>
      </x:c>
      <x:c r="AI5" s="4" t="str">
        <x:v>华夏北京保障房REIT_2024年报_20250331.pdf，现金流量表；原表底稿按逐行物理页定位</x:v>
      </x:c>
    </x:row>
    <x:row r="6" ht="42" customHeight="1">
      <x:c r="A6" s="4" t="str">
        <x:v>华夏北京保障房REIT</x:v>
      </x:c>
      <x:c r="B6" s="4" t="str">
        <x:v>2025上半年</x:v>
      </x:c>
      <x:c r="C6" s="4" t="str">
        <x:v>合并</x:v>
      </x:c>
      <x:c r="D6" s="4" t="str">
        <x:v>本期</x:v>
      </x:c>
      <x:c r="E6" s="8" t="n">
        <x:f>SUM('现金流原表'!F72:F78)</x:f>
        <x:v>41691941.41</x:v>
      </x:c>
      <x:c r="F6" s="8" t="n">
        <x:f>'现金流原表'!F79</x:f>
        <x:v>41691941.41</x:v>
      </x:c>
      <x:c r="G6" s="8" t="n">
        <x:f>SUM('现金流原表'!F80:F86)</x:f>
        <x:v>13754361.11</x:v>
      </x:c>
      <x:c r="H6" s="8" t="n">
        <x:f>'现金流原表'!F87</x:f>
        <x:v>13754361.11</x:v>
      </x:c>
      <x:c r="I6" s="8" t="n">
        <x:f>SUM('现金流原表'!F89:F91)</x:f>
        <x:v>24500000</x:v>
      </x:c>
      <x:c r="J6" s="8" t="n">
        <x:f>'现金流原表'!F92</x:f>
        <x:v>24500000</x:v>
      </x:c>
      <x:c r="K6" s="8" t="n">
        <x:f>SUM('现金流原表'!F93:F95)</x:f>
        <x:v>930509113.09</x:v>
      </x:c>
      <x:c r="L6" s="8" t="n">
        <x:f>'现金流原表'!F96</x:f>
        <x:v>930509113.09</x:v>
      </x:c>
      <x:c r="M6" s="8" t="n">
        <x:f>SUM('现金流原表'!F98:F100)</x:f>
        <x:v>946199997.98</x:v>
      </x:c>
      <x:c r="N6" s="8" t="n">
        <x:f>'现金流原表'!F101</x:f>
        <x:v>946199997.98</x:v>
      </x:c>
      <x:c r="O6" s="8" t="n">
        <x:f>SUM('现金流原表'!F102:F106)</x:f>
        <x:v>27020015.85</x:v>
      </x:c>
      <x:c r="P6" s="8" t="n">
        <x:f>'现金流原表'!F107</x:f>
        <x:v>27020015.85</x:v>
      </x:c>
      <x:c r="Q6" s="8" t="n">
        <x:f>E6-G6</x:f>
        <x:v>27937580.299999997</x:v>
      </x:c>
      <x:c r="R6" s="8" t="n">
        <x:f>I6-K6</x:f>
        <x:v>-906009113.09</x:v>
      </x:c>
      <x:c r="S6" s="8" t="n">
        <x:f>M6-O6</x:f>
        <x:v>919179982.13</x:v>
      </x:c>
      <x:c r="T6" s="8" t="n">
        <x:f>'现金流原表'!F109</x:f>
        <x:v>0</x:v>
      </x:c>
      <x:c r="U6" s="8" t="n">
        <x:f>SUM(Q6:T6)</x:f>
        <x:v>41108449.339999914</x:v>
      </x:c>
      <x:c r="V6" s="8" t="n">
        <x:f>'现金流原表'!F110</x:f>
        <x:v>41108449.34</x:v>
      </x:c>
      <x:c r="W6" s="8" t="n">
        <x:f>U6-V6</x:f>
        <x:v>-8.940696716308594e-8</x:v>
      </x:c>
      <x:c r="X6" s="8" t="n">
        <x:f>'现金流原表'!F111</x:f>
        <x:v>7287276.85</x:v>
      </x:c>
      <x:c r="Y6" s="8" t="n">
        <x:f>X6+U6</x:f>
        <x:v>48395726.189999916</x:v>
      </x:c>
      <x:c r="Z6" s="8" t="n">
        <x:f>'现金流原表'!F112</x:f>
        <x:v>48395726.19</x:v>
      </x:c>
      <x:c r="AA6" s="8" t="n">
        <x:f>Y6-Z6</x:f>
        <x:v>-8.195638656616211e-8</x:v>
      </x:c>
      <x:c r="AB6" s="8" t="n">
        <x:f>MAX(ABS(E6-F6),ABS(G6-H6),ABS(I6-J6),ABS(K6-L6),ABS(M6-N6),ABS(O6-P6))</x:f>
        <x:v>0</x:v>
      </x:c>
      <x:c r="AC6" s="8" t="n">
        <x:f>'现金流原表'!F88</x:f>
        <x:v>27937580.3</x:v>
      </x:c>
      <x:c r="AD6" s="8" t="n">
        <x:f>'现金流原表'!F97</x:f>
        <x:v>-906009113.09</x:v>
      </x:c>
      <x:c r="AE6" s="8" t="n">
        <x:f>'现金流原表'!F108</x:f>
        <x:v>919179982.13</x:v>
      </x:c>
      <x:c r="AF6" s="8" t="n">
        <x:f>Q6-AC6</x:f>
        <x:v>-3.725290298461914e-9</x:v>
      </x:c>
      <x:c r="AG6" s="8" t="n">
        <x:f>R6-AD6</x:f>
        <x:v>0</x:v>
      </x:c>
      <x:c r="AH6" s="8" t="n">
        <x:f>S6-AE6</x:f>
        <x:v>0</x:v>
      </x:c>
      <x:c r="AI6" s="4" t="str">
        <x:v>华夏北京保障房REIT_2025中报_20250830.pdf，现金流量表；原表底稿按逐行物理页定位</x:v>
      </x:c>
    </x:row>
    <x:row r="7" ht="42" customHeight="1">
      <x:c r="A7" s="4" t="str">
        <x:v>华夏北京保障房REIT</x:v>
      </x:c>
      <x:c r="B7" s="4" t="str">
        <x:v>2025上半年</x:v>
      </x:c>
      <x:c r="C7" s="4" t="str">
        <x:v>合并</x:v>
      </x:c>
      <x:c r="D7" s="4" t="str">
        <x:v>原表比较期间</x:v>
      </x:c>
      <x:c r="E7" s="8" t="n">
        <x:f>SUM('现金流原表'!G72:G78)</x:f>
        <x:v>36562053.95</x:v>
      </x:c>
      <x:c r="F7" s="8" t="n">
        <x:f>'现金流原表'!G79</x:f>
        <x:v>36562053.95</x:v>
      </x:c>
      <x:c r="G7" s="8" t="n">
        <x:f>SUM('现金流原表'!G80:G86)</x:f>
        <x:v>11781678.389999999</x:v>
      </x:c>
      <x:c r="H7" s="8" t="n">
        <x:f>'现金流原表'!G87</x:f>
        <x:v>11781678.39</x:v>
      </x:c>
      <x:c r="I7" s="8" t="n">
        <x:f>SUM('现金流原表'!G89:G91)</x:f>
        <x:v>20000000</x:v>
      </x:c>
      <x:c r="J7" s="8" t="n">
        <x:f>'现金流原表'!G92</x:f>
        <x:v>20000000</x:v>
      </x:c>
      <x:c r="K7" s="8" t="n">
        <x:f>SUM('现金流原表'!G93:G95)</x:f>
        <x:v>24000000</x:v>
      </x:c>
      <x:c r="L7" s="8" t="n">
        <x:f>'现金流原表'!G96</x:f>
        <x:v>24000000</x:v>
      </x:c>
      <x:c r="M7" s="8" t="n">
        <x:f>SUM('现金流原表'!G98:G100)</x:f>
        <x:v>0</x:v>
      </x:c>
      <x:c r="N7" s="8" t="n">
        <x:f>'现金流原表'!G101</x:f>
        <x:v>0</x:v>
      </x:c>
      <x:c r="O7" s="8" t="n">
        <x:f>SUM('现金流原表'!G102:G106)</x:f>
        <x:v>27530029.16</x:v>
      </x:c>
      <x:c r="P7" s="8" t="n">
        <x:f>'现金流原表'!G107</x:f>
        <x:v>27530029.16</x:v>
      </x:c>
      <x:c r="Q7" s="8" t="n">
        <x:f>E7-G7</x:f>
        <x:v>24780375.560000002</x:v>
      </x:c>
      <x:c r="R7" s="8" t="n">
        <x:f>I7-K7</x:f>
        <x:v>-4000000</x:v>
      </x:c>
      <x:c r="S7" s="8" t="n">
        <x:f>M7-O7</x:f>
        <x:v>-27530029.16</x:v>
      </x:c>
      <x:c r="T7" s="8" t="n">
        <x:f>'现金流原表'!G109</x:f>
        <x:v>0</x:v>
      </x:c>
      <x:c r="U7" s="8" t="n">
        <x:f>SUM(Q7:T7)</x:f>
        <x:v>-6749653.599999998</x:v>
      </x:c>
      <x:c r="V7" s="8" t="n">
        <x:f>'现金流原表'!G110</x:f>
        <x:v>-6749653.6</x:v>
      </x:c>
      <x:c r="W7" s="8" t="n">
        <x:f>U7-V7</x:f>
        <x:v>1.862645149230957e-9</x:v>
      </x:c>
      <x:c r="X7" s="8" t="n">
        <x:f>'现金流原表'!G111</x:f>
        <x:v>17745165.09</x:v>
      </x:c>
      <x:c r="Y7" s="8" t="n">
        <x:f>X7+U7</x:f>
        <x:v>10995511.490000002</x:v>
      </x:c>
      <x:c r="Z7" s="8" t="n">
        <x:f>'现金流原表'!G112</x:f>
        <x:v>10995511.49</x:v>
      </x:c>
      <x:c r="AA7" s="8" t="n">
        <x:f>Y7-Z7</x:f>
        <x:v>1.862645149230957e-9</x:v>
      </x:c>
      <x:c r="AB7" s="8" t="n">
        <x:f>MAX(ABS(E7-F7),ABS(G7-H7),ABS(I7-J7),ABS(K7-L7),ABS(M7-N7),ABS(O7-P7))</x:f>
        <x:v>1.862645149230957e-9</x:v>
      </x:c>
      <x:c r="AC7" s="8" t="n">
        <x:f>'现金流原表'!G88</x:f>
        <x:v>24780375.56</x:v>
      </x:c>
      <x:c r="AD7" s="8" t="n">
        <x:f>'现金流原表'!G97</x:f>
        <x:v>-4000000</x:v>
      </x:c>
      <x:c r="AE7" s="8" t="n">
        <x:f>'现金流原表'!G108</x:f>
        <x:v>-27530029.16</x:v>
      </x:c>
      <x:c r="AF7" s="8" t="n">
        <x:f>Q7-AC7</x:f>
        <x:v>3.725290298461914e-9</x:v>
      </x:c>
      <x:c r="AG7" s="8" t="n">
        <x:f>R7-AD7</x:f>
        <x:v>0</x:v>
      </x:c>
      <x:c r="AH7" s="8" t="n">
        <x:f>S7-AE7</x:f>
        <x:v>0</x:v>
      </x:c>
      <x:c r="AI7" s="4" t="str">
        <x:v>华夏北京保障房REIT_2025中报_20250830.pdf，现金流量表；原表底稿按逐行物理页定位</x:v>
      </x:c>
    </x:row>
    <x:row r="8" ht="42" customHeight="1">
      <x:c r="A8" s="4" t="str">
        <x:v>华夏北京保障房REIT</x:v>
      </x:c>
      <x:c r="B8" s="4" t="str">
        <x:v>2025上半年</x:v>
      </x:c>
      <x:c r="C8" s="4" t="str">
        <x:v>基金个别</x:v>
      </x:c>
      <x:c r="D8" s="4" t="str">
        <x:v>本期</x:v>
      </x:c>
      <x:c r="E8" s="8" t="n">
        <x:f>SUM('现金流原表'!F113:F119)</x:f>
        <x:v>34528868.17</x:v>
      </x:c>
      <x:c r="F8" s="8" t="n">
        <x:f>'现金流原表'!F120</x:f>
        <x:v>34528868.17</x:v>
      </x:c>
      <x:c r="G8" s="8" t="n">
        <x:f>SUM('现金流原表'!F121:F126)</x:f>
        <x:v>947791302.24</x:v>
      </x:c>
      <x:c r="H8" s="8" t="n">
        <x:f>'现金流原表'!F127</x:f>
        <x:v>947791302.24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f>SUM('现金流原表'!F129:F130)</x:f>
        <x:v>946199997.98</x:v>
      </x:c>
      <x:c r="N8" s="8" t="n">
        <x:f>'现金流原表'!F131</x:f>
        <x:v>946199997.98</x:v>
      </x:c>
      <x:c r="O8" s="8" t="n">
        <x:f>SUM('现金流原表'!F132:F135)</x:f>
        <x:v>27020015.85</x:v>
      </x:c>
      <x:c r="P8" s="8" t="n">
        <x:f>'现金流原表'!F136</x:f>
        <x:v>27020015.85</x:v>
      </x:c>
      <x:c r="Q8" s="8" t="n">
        <x:f>E8-G8</x:f>
        <x:v>-913262434.07</x:v>
      </x:c>
      <x:c r="R8" s="8" t="n">
        <x:f>I8-K8</x:f>
        <x:v>0</x:v>
      </x:c>
      <x:c r="S8" s="8" t="n">
        <x:f>M8-O8</x:f>
        <x:v>919179982.13</x:v>
      </x:c>
      <x:c r="T8" s="8" t="n">
        <x:f>'现金流原表'!F138</x:f>
        <x:v>0</x:v>
      </x:c>
      <x:c r="U8" s="8" t="n">
        <x:f>SUM(Q8:T8)</x:f>
        <x:v>5917548.059999943</x:v>
      </x:c>
      <x:c r="V8" s="8" t="n">
        <x:f>'现金流原表'!F139</x:f>
        <x:v>5917548.06</x:v>
      </x:c>
      <x:c r="W8" s="8" t="n">
        <x:f>U8-V8</x:f>
        <x:v>-5.681067705154419e-8</x:v>
      </x:c>
      <x:c r="X8" s="8" t="n">
        <x:f>'现金流原表'!F140</x:f>
        <x:v>1930963.15</x:v>
      </x:c>
      <x:c r="Y8" s="8" t="n">
        <x:f>X8+U8</x:f>
        <x:v>7848511.209999943</x:v>
      </x:c>
      <x:c r="Z8" s="8" t="n">
        <x:f>'现金流原表'!F141</x:f>
        <x:v>7848511.21</x:v>
      </x:c>
      <x:c r="AA8" s="8" t="n">
        <x:f>Y8-Z8</x:f>
        <x:v>-5.681067705154419e-8</x:v>
      </x:c>
      <x:c r="AB8" s="8" t="n">
        <x:f>MAX(ABS(E8-F8),ABS(G8-H8),ABS(I8-J8),ABS(K8-L8),ABS(M8-N8),ABS(O8-P8))</x:f>
        <x:v>0</x:v>
      </x:c>
      <x:c r="AC8" s="8" t="n">
        <x:f>'现金流原表'!F128</x:f>
        <x:v>-913262434.07</x:v>
      </x:c>
      <x:c r="AD8" s="8" t="n">
        <x:v>0</x:v>
      </x:c>
      <x:c r="AE8" s="8" t="n">
        <x:f>'现金流原表'!F137</x:f>
        <x:v>919179982.13</x:v>
      </x:c>
      <x:c r="AF8" s="8" t="n">
        <x:f>Q8-AC8</x:f>
        <x:v>0</x:v>
      </x:c>
      <x:c r="AG8" s="8" t="n">
        <x:f>R8-AD8</x:f>
        <x:v>0</x:v>
      </x:c>
      <x:c r="AH8" s="8" t="n">
        <x:f>S8-AE8</x:f>
        <x:v>0</x:v>
      </x:c>
      <x:c r="AI8" s="4" t="str">
        <x:v>华夏北京保障房REIT_2025中报_20250830.pdf，现金流量表；原表底稿按逐行物理页定位</x:v>
      </x:c>
    </x:row>
    <x:row r="9" ht="42" customHeight="1">
      <x:c r="A9" s="4" t="str">
        <x:v>华夏北京保障房REIT</x:v>
      </x:c>
      <x:c r="B9" s="4" t="str">
        <x:v>2025上半年</x:v>
      </x:c>
      <x:c r="C9" s="4" t="str">
        <x:v>基金个别</x:v>
      </x:c>
      <x:c r="D9" s="4" t="str">
        <x:v>原表比较期间</x:v>
      </x:c>
      <x:c r="E9" s="8" t="n">
        <x:f>SUM('现金流原表'!G113:G119)</x:f>
        <x:v>32648283.68</x:v>
      </x:c>
      <x:c r="F9" s="8" t="n">
        <x:f>'现金流原表'!G120</x:f>
        <x:v>32648283.68</x:v>
      </x:c>
      <x:c r="G9" s="8" t="n">
        <x:f>SUM('现金流原表'!G121:G126)</x:f>
        <x:v>2361008.28</x:v>
      </x:c>
      <x:c r="H9" s="8" t="n">
        <x:f>'现金流原表'!G127</x:f>
        <x:v>2361008.28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f>SUM('现金流原表'!G129:G130)</x:f>
        <x:v>0</x:v>
      </x:c>
      <x:c r="N9" s="8" t="n">
        <x:f>'现金流原表'!G131</x:f>
        <x:v>0</x:v>
      </x:c>
      <x:c r="O9" s="8" t="n">
        <x:f>SUM('现金流原表'!G132:G135)</x:f>
        <x:v>27530029.16</x:v>
      </x:c>
      <x:c r="P9" s="8" t="n">
        <x:f>'现金流原表'!G136</x:f>
        <x:v>27530029.16</x:v>
      </x:c>
      <x:c r="Q9" s="8" t="n">
        <x:f>E9-G9</x:f>
        <x:v>30287275.4</x:v>
      </x:c>
      <x:c r="R9" s="8" t="n">
        <x:f>I9-K9</x:f>
        <x:v>0</x:v>
      </x:c>
      <x:c r="S9" s="8" t="n">
        <x:f>M9-O9</x:f>
        <x:v>-27530029.16</x:v>
      </x:c>
      <x:c r="T9" s="8" t="n">
        <x:f>'现金流原表'!G138</x:f>
        <x:v>0</x:v>
      </x:c>
      <x:c r="U9" s="8" t="n">
        <x:f>SUM(Q9:T9)</x:f>
        <x:v>2757246.2399999984</x:v>
      </x:c>
      <x:c r="V9" s="8" t="n">
        <x:f>'现金流原表'!G139</x:f>
        <x:v>2757246.24</x:v>
      </x:c>
      <x:c r="W9" s="8" t="n">
        <x:f>U9-V9</x:f>
        <x:v>-1.862645149230957e-9</x:v>
      </x:c>
      <x:c r="X9" s="8" t="n">
        <x:f>'现金流原表'!G140</x:f>
        <x:v>3142522.61</x:v>
      </x:c>
      <x:c r="Y9" s="8" t="n">
        <x:f>X9+U9</x:f>
        <x:v>5899768.849999998</x:v>
      </x:c>
      <x:c r="Z9" s="8" t="n">
        <x:f>'现金流原表'!G141</x:f>
        <x:v>5899768.85</x:v>
      </x:c>
      <x:c r="AA9" s="8" t="n">
        <x:f>Y9-Z9</x:f>
        <x:v>-1.862645149230957e-9</x:v>
      </x:c>
      <x:c r="AB9" s="8" t="n">
        <x:f>MAX(ABS(E9-F9),ABS(G9-H9),ABS(I9-J9),ABS(K9-L9),ABS(M9-N9),ABS(O9-P9))</x:f>
        <x:v>0</x:v>
      </x:c>
      <x:c r="AC9" s="8" t="n">
        <x:f>'现金流原表'!G128</x:f>
        <x:v>30287275.4</x:v>
      </x:c>
      <x:c r="AD9" s="8" t="n">
        <x:v>0</x:v>
      </x:c>
      <x:c r="AE9" s="8" t="n">
        <x:f>'现金流原表'!G137</x:f>
        <x:v>-27530029.16</x:v>
      </x:c>
      <x:c r="AF9" s="8" t="n">
        <x:f>Q9-AC9</x:f>
        <x:v>0</x:v>
      </x:c>
      <x:c r="AG9" s="8" t="n">
        <x:f>R9-AD9</x:f>
        <x:v>0</x:v>
      </x:c>
      <x:c r="AH9" s="8" t="n">
        <x:f>S9-AE9</x:f>
        <x:v>0</x:v>
      </x:c>
      <x:c r="AI9" s="4" t="str">
        <x:v>华夏北京保障房REIT_2025中报_20250830.pdf，现金流量表；原表底稿按逐行物理页定位</x:v>
      </x:c>
    </x:row>
    <x:row r="10" ht="42" customHeight="1">
      <x:c r="A10" s="4" t="str">
        <x:v>华夏华润商业REIT</x:v>
      </x:c>
      <x:c r="B10" s="4" t="str">
        <x:v>2024年度</x:v>
      </x:c>
      <x:c r="C10" s="4" t="str">
        <x:v>合并</x:v>
      </x:c>
      <x:c r="D10" s="4" t="str">
        <x:v>本期</x:v>
      </x:c>
      <x:c r="E10" s="8" t="n">
        <x:f>SUM('现金流原表'!F142:F148)</x:f>
        <x:v>1764818343.02</x:v>
      </x:c>
      <x:c r="F10" s="8" t="n">
        <x:f>'现金流原表'!F149</x:f>
        <x:v>1764818343.02</x:v>
      </x:c>
      <x:c r="G10" s="8" t="n">
        <x:f>SUM('现金流原表'!F150:F156)</x:f>
        <x:v>1429089210.58</x:v>
      </x:c>
      <x:c r="H10" s="8" t="n">
        <x:f>'现金流原表'!F157</x:f>
        <x:v>1429089210.58</x:v>
      </x:c>
      <x:c r="I10" s="8" t="n">
        <x:f>SUM('现金流原表'!F159:F161)</x:f>
        <x:v>69448.58</x:v>
      </x:c>
      <x:c r="J10" s="8" t="n">
        <x:f>'现金流原表'!F162</x:f>
        <x:v>69448.58</x:v>
      </x:c>
      <x:c r="K10" s="8" t="n">
        <x:f>SUM('现金流原表'!F163:F165)</x:f>
        <x:v>5855240843.92</x:v>
      </x:c>
      <x:c r="L10" s="8" t="n">
        <x:f>'现金流原表'!F166</x:f>
        <x:v>5855240843.92</x:v>
      </x:c>
      <x:c r="M10" s="8" t="n">
        <x:f>SUM('现金流原表'!F168:F170)</x:f>
        <x:v>1230300000</x:v>
      </x:c>
      <x:c r="N10" s="8" t="n">
        <x:f>'现金流原表'!F171</x:f>
        <x:v>1230300000</x:v>
      </x:c>
      <x:c r="O10" s="8" t="n">
        <x:f>SUM('现金流原表'!F172:F176)</x:f>
        <x:v>2173516251.8799996</x:v>
      </x:c>
      <x:c r="P10" s="8" t="n">
        <x:f>'现金流原表'!F177</x:f>
        <x:v>2173516251.88</x:v>
      </x:c>
      <x:c r="Q10" s="8" t="n">
        <x:f>E10-G10</x:f>
        <x:v>335729132.44000006</x:v>
      </x:c>
      <x:c r="R10" s="8" t="n">
        <x:f>I10-K10</x:f>
        <x:v>-5855171395.34</x:v>
      </x:c>
      <x:c r="S10" s="8" t="n">
        <x:f>M10-O10</x:f>
        <x:v>-943216251.8799996</x:v>
      </x:c>
      <x:c r="T10" s="8" t="n">
        <x:f>'现金流原表'!F179</x:f>
        <x:v>0</x:v>
      </x:c>
      <x:c r="U10" s="8" t="n">
        <x:f>SUM(Q10:T10)</x:f>
        <x:v>-6462658514.779999</x:v>
      </x:c>
      <x:c r="V10" s="8" t="n">
        <x:f>'现金流原表'!F180</x:f>
        <x:v>-6462658514.78</x:v>
      </x:c>
      <x:c r="W10" s="8" t="n">
        <x:f>U10-V10</x:f>
        <x:v>9.5367431640625e-7</x:v>
      </x:c>
      <x:c r="X10" s="8" t="n">
        <x:f>'现金流原表'!F181</x:f>
        <x:v>6902000000.35</x:v>
      </x:c>
      <x:c r="Y10" s="8" t="n">
        <x:f>X10+U10</x:f>
        <x:v>439341485.5700016</x:v>
      </x:c>
      <x:c r="Z10" s="8" t="n">
        <x:f>'现金流原表'!F182</x:f>
        <x:v>439341485.57</x:v>
      </x:c>
      <x:c r="AA10" s="8" t="n">
        <x:f>Y10-Z10</x:f>
        <x:v>0.0000016093254089355469</x:v>
      </x:c>
      <x:c r="AB10" s="8" t="n">
        <x:f>MAX(ABS(E10-F10),ABS(G10-H10),ABS(I10-J10),ABS(K10-L10),ABS(M10-N10),ABS(O10-P10))</x:f>
        <x:v>4.76837158203125e-7</x:v>
      </x:c>
      <x:c r="AC10" s="8" t="n">
        <x:f>'现金流原表'!F158</x:f>
        <x:v>335729132.44</x:v>
      </x:c>
      <x:c r="AD10" s="8" t="n">
        <x:f>'现金流原表'!F167</x:f>
        <x:v>-5855171395.34</x:v>
      </x:c>
      <x:c r="AE10" s="8" t="n">
        <x:f>'现金流原表'!F178</x:f>
        <x:v>-943216251.88</x:v>
      </x:c>
      <x:c r="AF10" s="8" t="n">
        <x:f>Q10-AC10</x:f>
        <x:v>5.960464477539063e-8</x:v>
      </x:c>
      <x:c r="AG10" s="8" t="n">
        <x:f>R10-AD10</x:f>
        <x:v>0</x:v>
      </x:c>
      <x:c r="AH10" s="8" t="n">
        <x:f>S10-AE10</x:f>
        <x:v>3.5762786865234375e-7</x:v>
      </x:c>
      <x:c r="AI10" s="4" t="str">
        <x:v>华夏华润商业REIT_2024年报_20250331.pdf，现金流量表；原表底稿按逐行物理页定位</x:v>
      </x:c>
    </x:row>
    <x:row r="11" ht="42" customHeight="1">
      <x:c r="A11" s="4" t="str">
        <x:v>华夏华润商业REIT</x:v>
      </x:c>
      <x:c r="B11" s="4" t="str">
        <x:v>2024年度</x:v>
      </x:c>
      <x:c r="C11" s="4" t="str">
        <x:v>基金个别</x:v>
      </x:c>
      <x:c r="D11" s="4" t="str">
        <x:v>本期</x:v>
      </x:c>
      <x:c r="E11" s="8" t="n">
        <x:f>SUM('现金流原表'!F183:F189)</x:f>
        <x:v>235029102.48000002</x:v>
      </x:c>
      <x:c r="F11" s="8" t="n">
        <x:f>'现金流原表'!F190</x:f>
        <x:v>235029102.48</x:v>
      </x:c>
      <x:c r="G11" s="8" t="n">
        <x:f>SUM('现金流原表'!F191:F196)</x:f>
        <x:v>6901800400</x:v>
      </x:c>
      <x:c r="H11" s="8" t="n">
        <x:f>'现金流原表'!F197</x:f>
        <x:v>6901800400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f>SUM('现金流原表'!F199:F200)</x:f>
        <x:v>0</x:v>
      </x:c>
      <x:c r="N11" s="8" t="n">
        <x:f>'现金流原表'!F201</x:f>
        <x:v>0</x:v>
      </x:c>
      <x:c r="O11" s="8" t="n">
        <x:f>SUM('现金流原表'!F202:F205)</x:f>
        <x:v>226659992.42</x:v>
      </x:c>
      <x:c r="P11" s="8" t="n">
        <x:f>'现金流原表'!F206</x:f>
        <x:v>226659992.42</x:v>
      </x:c>
      <x:c r="Q11" s="8" t="n">
        <x:f>E11-G11</x:f>
        <x:v>-6666771297.52</x:v>
      </x:c>
      <x:c r="R11" s="8" t="n">
        <x:f>I11-K11</x:f>
        <x:v>0</x:v>
      </x:c>
      <x:c r="S11" s="8" t="n">
        <x:f>M11-O11</x:f>
        <x:v>-226659992.42</x:v>
      </x:c>
      <x:c r="T11" s="8" t="n">
        <x:f>'现金流原表'!F208</x:f>
        <x:v>0</x:v>
      </x:c>
      <x:c r="U11" s="8" t="n">
        <x:f>SUM(Q11:T11)</x:f>
        <x:v>-6893431289.940001</x:v>
      </x:c>
      <x:c r="V11" s="8" t="n">
        <x:f>'现金流原表'!F209</x:f>
        <x:v>-6893431289.94</x:v>
      </x:c>
      <x:c r="W11" s="8" t="n">
        <x:f>U11-V11</x:f>
        <x:v>-9.5367431640625e-7</x:v>
      </x:c>
      <x:c r="X11" s="8" t="n">
        <x:f>'现金流原表'!F210</x:f>
        <x:v>6902000000.35</x:v>
      </x:c>
      <x:c r="Y11" s="8" t="n">
        <x:f>X11+U11</x:f>
        <x:v>8568710.409999847</x:v>
      </x:c>
      <x:c r="Z11" s="8" t="n">
        <x:f>'现金流原表'!F211</x:f>
        <x:v>8568710.41</x:v>
      </x:c>
      <x:c r="AA11" s="8" t="n">
        <x:f>Y11-Z11</x:f>
        <x:v>-1.5273690223693848e-7</x:v>
      </x:c>
      <x:c r="AB11" s="8" t="n">
        <x:f>MAX(ABS(E11-F11),ABS(G11-H11),ABS(I11-J11),ABS(K11-L11),ABS(M11-N11),ABS(O11-P11))</x:f>
        <x:v>2.9802322387695312e-8</x:v>
      </x:c>
      <x:c r="AC11" s="8" t="n">
        <x:f>'现金流原表'!F198</x:f>
        <x:v>-6666771297.52</x:v>
      </x:c>
      <x:c r="AD11" s="8" t="n">
        <x:v>0</x:v>
      </x:c>
      <x:c r="AE11" s="8" t="n">
        <x:f>'现金流原表'!F207</x:f>
        <x:v>-226659992.42</x:v>
      </x:c>
      <x:c r="AF11" s="8" t="n">
        <x:f>Q11-AC11</x:f>
        <x:v>0</x:v>
      </x:c>
      <x:c r="AG11" s="8" t="n">
        <x:f>R11-AD11</x:f>
        <x:v>0</x:v>
      </x:c>
      <x:c r="AH11" s="8" t="n">
        <x:f>S11-AE11</x:f>
        <x:v>0</x:v>
      </x:c>
      <x:c r="AI11" s="4" t="str">
        <x:v>华夏华润商业REIT_2024年报_20250331.pdf，现金流量表；原表底稿按逐行物理页定位</x:v>
      </x:c>
    </x:row>
    <x:row r="12" ht="42" customHeight="1">
      <x:c r="A12" s="4" t="str">
        <x:v>华夏华润商业REIT</x:v>
      </x:c>
      <x:c r="B12" s="4" t="str">
        <x:v>2025上半年</x:v>
      </x:c>
      <x:c r="C12" s="4" t="str">
        <x:v>合并</x:v>
      </x:c>
      <x:c r="D12" s="4" t="str">
        <x:v>本期</x:v>
      </x:c>
      <x:c r="E12" s="8" t="n">
        <x:f>SUM('现金流原表'!F212:F218)</x:f>
        <x:v>1045707475.39</x:v>
      </x:c>
      <x:c r="F12" s="8" t="n">
        <x:f>'现金流原表'!F219</x:f>
        <x:v>1045707475.39</x:v>
      </x:c>
      <x:c r="G12" s="8" t="n">
        <x:f>SUM('现金流原表'!F220:F226)</x:f>
        <x:v>841332691.13</x:v>
      </x:c>
      <x:c r="H12" s="8" t="n">
        <x:f>'现金流原表'!F227</x:f>
        <x:v>841332691.13</x:v>
      </x:c>
      <x:c r="I12" s="8" t="n">
        <x:f>SUM('现金流原表'!F229:F231)</x:f>
        <x:v>280000000</x:v>
      </x:c>
      <x:c r="J12" s="8" t="n">
        <x:f>'现金流原表'!F232</x:f>
        <x:v>280000000</x:v>
      </x:c>
      <x:c r="K12" s="8" t="n">
        <x:f>SUM('现金流原表'!F233:F235)</x:f>
        <x:v>408759498.9</x:v>
      </x:c>
      <x:c r="L12" s="8" t="n">
        <x:f>'现金流原表'!F236</x:f>
        <x:v>408759498.9</x:v>
      </x:c>
      <x:c r="M12" s="8" t="n">
        <x:f>SUM('现金流原表'!F238:F240)</x:f>
        <x:v>0</x:v>
      </x:c>
      <x:c r="N12" s="8" t="n">
        <x:f>'现金流原表'!F241</x:f>
        <x:v>0</x:v>
      </x:c>
      <x:c r="O12" s="8" t="n">
        <x:f>SUM('现金流原表'!F242:F246)</x:f>
        <x:v>191792234.79</x:v>
      </x:c>
      <x:c r="P12" s="8" t="n">
        <x:f>'现金流原表'!F247</x:f>
        <x:v>191792234.79</x:v>
      </x:c>
      <x:c r="Q12" s="8" t="n">
        <x:f>E12-G12</x:f>
        <x:v>204374784.26</x:v>
      </x:c>
      <x:c r="R12" s="8" t="n">
        <x:f>I12-K12</x:f>
        <x:v>-128759498.89999998</x:v>
      </x:c>
      <x:c r="S12" s="8" t="n">
        <x:f>M12-O12</x:f>
        <x:v>-191792234.79</x:v>
      </x:c>
      <x:c r="T12" s="8" t="n">
        <x:f>'现金流原表'!F249</x:f>
        <x:v>0</x:v>
      </x:c>
      <x:c r="U12" s="8" t="n">
        <x:f>SUM(Q12:T12)</x:f>
        <x:v>-116176949.42999998</x:v>
      </x:c>
      <x:c r="V12" s="8" t="n">
        <x:f>'现金流原表'!F250</x:f>
        <x:v>-116176949.43</x:v>
      </x:c>
      <x:c r="W12" s="8" t="n">
        <x:f>U12-V12</x:f>
        <x:v>2.9802322387695312e-8</x:v>
      </x:c>
      <x:c r="X12" s="8" t="n">
        <x:f>'现金流原表'!F251</x:f>
        <x:v>439341485.57</x:v>
      </x:c>
      <x:c r="Y12" s="8" t="n">
        <x:f>X12+U12</x:f>
        <x:v>323164536.14</x:v>
      </x:c>
      <x:c r="Z12" s="8" t="n">
        <x:f>'现金流原表'!F252</x:f>
        <x:v>323164536.14</x:v>
      </x:c>
      <x:c r="AA12" s="8" t="n">
        <x:f>Y12-Z12</x:f>
        <x:v>0</x:v>
      </x:c>
      <x:c r="AB12" s="8" t="n">
        <x:f>MAX(ABS(E12-F12),ABS(G12-H12),ABS(I12-J12),ABS(K12-L12),ABS(M12-N12),ABS(O12-P12))</x:f>
        <x:v>0</x:v>
      </x:c>
      <x:c r="AC12" s="8" t="n">
        <x:f>'现金流原表'!F228</x:f>
        <x:v>204374784.26</x:v>
      </x:c>
      <x:c r="AD12" s="8" t="n">
        <x:f>'现金流原表'!F237</x:f>
        <x:v>-128759498.9</x:v>
      </x:c>
      <x:c r="AE12" s="8" t="n">
        <x:f>'现金流原表'!F248</x:f>
        <x:v>-191792234.79</x:v>
      </x:c>
      <x:c r="AF12" s="8" t="n">
        <x:f>Q12-AC12</x:f>
        <x:v>0</x:v>
      </x:c>
      <x:c r="AG12" s="8" t="n">
        <x:f>R12-AD12</x:f>
        <x:v>2.9802322387695312e-8</x:v>
      </x:c>
      <x:c r="AH12" s="8" t="n">
        <x:f>S12-AE12</x:f>
        <x:v>0</x:v>
      </x:c>
      <x:c r="AI12" s="4" t="str">
        <x:v>华夏华润商业REIT_2025中报_20250830.pdf，现金流量表；原表底稿按逐行物理页定位</x:v>
      </x:c>
    </x:row>
    <x:row r="13" ht="42" customHeight="1">
      <x:c r="A13" s="4" t="str">
        <x:v>华夏华润商业REIT</x:v>
      </x:c>
      <x:c r="B13" s="4" t="str">
        <x:v>2025上半年</x:v>
      </x:c>
      <x:c r="C13" s="4" t="str">
        <x:v>合并</x:v>
      </x:c>
      <x:c r="D13" s="4" t="str">
        <x:v>原表比较期间</x:v>
      </x:c>
      <x:c r="E13" s="8" t="n">
        <x:f>SUM('现金流原表'!G212:G218)</x:f>
        <x:v>768854969.01</x:v>
      </x:c>
      <x:c r="F13" s="8" t="n">
        <x:f>'现金流原表'!G219</x:f>
        <x:v>768854969.01</x:v>
      </x:c>
      <x:c r="G13" s="8" t="n">
        <x:f>SUM('现金流原表'!G220:G226)</x:f>
        <x:v>676453209.91</x:v>
      </x:c>
      <x:c r="H13" s="8" t="n">
        <x:f>'现金流原表'!G227</x:f>
        <x:v>676453209.91</x:v>
      </x:c>
      <x:c r="I13" s="8" t="n">
        <x:f>SUM('现金流原表'!G229:G231)</x:f>
        <x:v>0</x:v>
      </x:c>
      <x:c r="J13" s="8" t="n">
        <x:f>'现金流原表'!G232</x:f>
        <x:v>0</x:v>
      </x:c>
      <x:c r="K13" s="8" t="n">
        <x:f>SUM('现金流原表'!G233:G235)</x:f>
        <x:v>5547797158.55</x:v>
      </x:c>
      <x:c r="L13" s="8" t="n">
        <x:f>'现金流原表'!G236</x:f>
        <x:v>5547797158.55</x:v>
      </x:c>
      <x:c r="M13" s="8" t="n">
        <x:f>SUM('现金流原表'!G238:G240)</x:f>
        <x:v>1230300000</x:v>
      </x:c>
      <x:c r="N13" s="8" t="n">
        <x:f>'现金流原表'!G241</x:f>
        <x:v>1230300000</x:v>
      </x:c>
      <x:c r="O13" s="8" t="n">
        <x:f>SUM('现金流原表'!G242:G246)</x:f>
        <x:v>1982225234.34</x:v>
      </x:c>
      <x:c r="P13" s="8" t="n">
        <x:f>'现金流原表'!G247</x:f>
        <x:v>1982225234.34</x:v>
      </x:c>
      <x:c r="Q13" s="8" t="n">
        <x:f>E13-G13</x:f>
        <x:v>92401759.10000002</x:v>
      </x:c>
      <x:c r="R13" s="8" t="n">
        <x:f>I13-K13</x:f>
        <x:v>-5547797158.55</x:v>
      </x:c>
      <x:c r="S13" s="8" t="n">
        <x:f>M13-O13</x:f>
        <x:v>-751925234.3399999</x:v>
      </x:c>
      <x:c r="T13" s="8" t="n">
        <x:f>'现金流原表'!G249</x:f>
        <x:v>0</x:v>
      </x:c>
      <x:c r="U13" s="8" t="n">
        <x:f>SUM(Q13:T13)</x:f>
        <x:v>-6207320633.79</x:v>
      </x:c>
      <x:c r="V13" s="8" t="n">
        <x:f>'现金流原表'!G250</x:f>
        <x:v>-6207320633.79</x:v>
      </x:c>
      <x:c r="W13" s="8" t="n">
        <x:f>U13-V13</x:f>
        <x:v>0</x:v>
      </x:c>
      <x:c r="X13" s="8" t="n">
        <x:f>'现金流原表'!G251</x:f>
        <x:v>6902000000.35</x:v>
      </x:c>
      <x:c r="Y13" s="8" t="n">
        <x:f>X13+U13</x:f>
        <x:v>694679366.5600004</x:v>
      </x:c>
      <x:c r="Z13" s="8" t="n">
        <x:f>'现金流原表'!G252</x:f>
        <x:v>694679366.56</x:v>
      </x:c>
      <x:c r="AA13" s="8" t="n">
        <x:f>Y13-Z13</x:f>
        <x:v>4.76837158203125e-7</x:v>
      </x:c>
      <x:c r="AB13" s="8" t="n">
        <x:f>MAX(ABS(E13-F13),ABS(G13-H13),ABS(I13-J13),ABS(K13-L13),ABS(M13-N13),ABS(O13-P13))</x:f>
        <x:v>0</x:v>
      </x:c>
      <x:c r="AC13" s="8" t="n">
        <x:f>'现金流原表'!G228</x:f>
        <x:v>92401759.1</x:v>
      </x:c>
      <x:c r="AD13" s="8" t="n">
        <x:f>'现金流原表'!G237</x:f>
        <x:v>-5547797158.55</x:v>
      </x:c>
      <x:c r="AE13" s="8" t="n">
        <x:f>'现金流原表'!G248</x:f>
        <x:v>-751925234.34</x:v>
      </x:c>
      <x:c r="AF13" s="8" t="n">
        <x:f>Q13-AC13</x:f>
        <x:v>2.9802322387695312e-8</x:v>
      </x:c>
      <x:c r="AG13" s="8" t="n">
        <x:f>R13-AD13</x:f>
        <x:v>0</x:v>
      </x:c>
      <x:c r="AH13" s="8" t="n">
        <x:f>S13-AE13</x:f>
        <x:v>1.1920928955078125e-7</x:v>
      </x:c>
      <x:c r="AI13" s="4" t="str">
        <x:v>华夏华润商业REIT_2025中报_20250830.pdf，现金流量表；原表底稿按逐行物理页定位</x:v>
      </x:c>
    </x:row>
    <x:row r="14" ht="42" customHeight="1">
      <x:c r="A14" s="4" t="str">
        <x:v>华夏华润商业REIT</x:v>
      </x:c>
      <x:c r="B14" s="4" t="str">
        <x:v>2025上半年</x:v>
      </x:c>
      <x:c r="C14" s="4" t="str">
        <x:v>基金个别</x:v>
      </x:c>
      <x:c r="D14" s="4" t="str">
        <x:v>本期</x:v>
      </x:c>
      <x:c r="E14" s="8" t="n">
        <x:f>SUM('现金流原表'!F253:F259)</x:f>
        <x:v>183828034.07</x:v>
      </x:c>
      <x:c r="F14" s="8" t="n">
        <x:f>'现金流原表'!F260</x:f>
        <x:v>183828034.07</x:v>
      </x:c>
      <x:c r="G14" s="8" t="n">
        <x:f>SUM('现金流原表'!F261:F266)</x:f>
        <x:v>160000</x:v>
      </x:c>
      <x:c r="H14" s="8" t="n">
        <x:f>'现金流原表'!F267</x:f>
        <x:v>160000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f>SUM('现金流原表'!F269:F270)</x:f>
        <x:v>0</x:v>
      </x:c>
      <x:c r="N14" s="8" t="n">
        <x:f>'现金流原表'!F271</x:f>
        <x:v>0</x:v>
      </x:c>
      <x:c r="O14" s="8" t="n">
        <x:f>SUM('现金流原表'!F272:F275)</x:f>
        <x:v>176939993.37</x:v>
      </x:c>
      <x:c r="P14" s="8" t="n">
        <x:f>'现金流原表'!F276</x:f>
        <x:v>176939993.37</x:v>
      </x:c>
      <x:c r="Q14" s="8" t="n">
        <x:f>E14-G14</x:f>
        <x:v>183668034.07</x:v>
      </x:c>
      <x:c r="R14" s="8" t="n">
        <x:f>I14-K14</x:f>
        <x:v>0</x:v>
      </x:c>
      <x:c r="S14" s="8" t="n">
        <x:f>M14-O14</x:f>
        <x:v>-176939993.37</x:v>
      </x:c>
      <x:c r="T14" s="8" t="n">
        <x:f>'现金流原表'!F278</x:f>
        <x:v>0</x:v>
      </x:c>
      <x:c r="U14" s="8" t="n">
        <x:f>SUM(Q14:T14)</x:f>
        <x:v>6728040.699999988</x:v>
      </x:c>
      <x:c r="V14" s="8" t="n">
        <x:f>'现金流原表'!F279</x:f>
        <x:v>6728040.7</x:v>
      </x:c>
      <x:c r="W14" s="8" t="n">
        <x:f>U14-V14</x:f>
        <x:v>-1.210719347000122e-8</x:v>
      </x:c>
      <x:c r="X14" s="8" t="n">
        <x:f>'现金流原表'!F280</x:f>
        <x:v>8568710.41</x:v>
      </x:c>
      <x:c r="Y14" s="8" t="n">
        <x:f>X14+U14</x:f>
        <x:v>15296751.109999988</x:v>
      </x:c>
      <x:c r="Z14" s="8" t="n">
        <x:f>'现金流原表'!F281</x:f>
        <x:v>15296751.11</x:v>
      </x:c>
      <x:c r="AA14" s="8" t="n">
        <x:f>Y14-Z14</x:f>
        <x:v>-1.1175870895385742e-8</x:v>
      </x:c>
      <x:c r="AB14" s="8" t="n">
        <x:f>MAX(ABS(E14-F14),ABS(G14-H14),ABS(I14-J14),ABS(K14-L14),ABS(M14-N14),ABS(O14-P14))</x:f>
        <x:v>0</x:v>
      </x:c>
      <x:c r="AC14" s="8" t="n">
        <x:f>'现金流原表'!F268</x:f>
        <x:v>183668034.07</x:v>
      </x:c>
      <x:c r="AD14" s="8" t="n">
        <x:v>0</x:v>
      </x:c>
      <x:c r="AE14" s="8" t="n">
        <x:f>'现金流原表'!F277</x:f>
        <x:v>-176939993.37</x:v>
      </x:c>
      <x:c r="AF14" s="8" t="n">
        <x:f>Q14-AC14</x:f>
        <x:v>0</x:v>
      </x:c>
      <x:c r="AG14" s="8" t="n">
        <x:f>R14-AD14</x:f>
        <x:v>0</x:v>
      </x:c>
      <x:c r="AH14" s="8" t="n">
        <x:f>S14-AE14</x:f>
        <x:v>0</x:v>
      </x:c>
      <x:c r="AI14" s="4" t="str">
        <x:v>华夏华润商业REIT_2025中报_20250830.pdf，现金流量表；原表底稿按逐行物理页定位</x:v>
      </x:c>
    </x:row>
    <x:row r="15" ht="42" customHeight="1">
      <x:c r="A15" s="4" t="str">
        <x:v>华夏华润商业REIT</x:v>
      </x:c>
      <x:c r="B15" s="4" t="str">
        <x:v>2025上半年</x:v>
      </x:c>
      <x:c r="C15" s="4" t="str">
        <x:v>基金个别</x:v>
      </x:c>
      <x:c r="D15" s="4" t="str">
        <x:v>原表比较期间</x:v>
      </x:c>
      <x:c r="E15" s="8" t="n">
        <x:f>SUM('现金流原表'!G253:G259)</x:f>
        <x:v>56934242.339999996</x:v>
      </x:c>
      <x:c r="F15" s="8" t="n">
        <x:f>'现金流原表'!G260</x:f>
        <x:v>56934242.34</x:v>
      </x:c>
      <x:c r="G15" s="8" t="n">
        <x:f>SUM('现金流原表'!G261:G266)</x:f>
        <x:v>6901800400</x:v>
      </x:c>
      <x:c r="H15" s="8" t="n">
        <x:f>'现金流原表'!G267</x:f>
        <x:v>6901800400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f>SUM('现金流原表'!G269:G270)</x:f>
        <x:v>0</x:v>
      </x:c>
      <x:c r="N15" s="8" t="n">
        <x:f>'现金流原表'!G271</x:f>
        <x:v>0</x:v>
      </x:c>
      <x:c r="O15" s="8" t="n">
        <x:f>SUM('现金流原表'!G272:G275)</x:f>
        <x:v>51219997.68</x:v>
      </x:c>
      <x:c r="P15" s="8" t="n">
        <x:f>'现金流原表'!G276</x:f>
        <x:v>51219997.68</x:v>
      </x:c>
      <x:c r="Q15" s="8" t="n">
        <x:f>E15-G15</x:f>
        <x:v>-6844866157.66</x:v>
      </x:c>
      <x:c r="R15" s="8" t="n">
        <x:f>I15-K15</x:f>
        <x:v>0</x:v>
      </x:c>
      <x:c r="S15" s="8" t="n">
        <x:f>M15-O15</x:f>
        <x:v>-51219997.68</x:v>
      </x:c>
      <x:c r="T15" s="8" t="n">
        <x:f>'现金流原表'!G278</x:f>
        <x:v>0</x:v>
      </x:c>
      <x:c r="U15" s="8" t="n">
        <x:f>SUM(Q15:T15)</x:f>
        <x:v>-6896086155.34</x:v>
      </x:c>
      <x:c r="V15" s="8" t="n">
        <x:f>'现金流原表'!G279</x:f>
        <x:v>-6896086155.34</x:v>
      </x:c>
      <x:c r="W15" s="8" t="n">
        <x:f>U15-V15</x:f>
        <x:v>0</x:v>
      </x:c>
      <x:c r="X15" s="8" t="n">
        <x:f>'现金流原表'!G280</x:f>
        <x:v>6902000000.35</x:v>
      </x:c>
      <x:c r="Y15" s="8" t="n">
        <x:f>X15+U15</x:f>
        <x:v>5913845.010000229</x:v>
      </x:c>
      <x:c r="Z15" s="8" t="n">
        <x:f>'现金流原表'!G281</x:f>
        <x:v>5913845.01</x:v>
      </x:c>
      <x:c r="AA15" s="8" t="n">
        <x:f>Y15-Z15</x:f>
        <x:v>2.2910535335540771e-7</x:v>
      </x:c>
      <x:c r="AB15" s="8" t="n">
        <x:f>MAX(ABS(E15-F15),ABS(G15-H15),ABS(I15-J15),ABS(K15-L15),ABS(M15-N15),ABS(O15-P15))</x:f>
        <x:v>7.450580596923828e-9</x:v>
      </x:c>
      <x:c r="AC15" s="8" t="n">
        <x:f>'现金流原表'!G268</x:f>
        <x:v>-6844866157.66</x:v>
      </x:c>
      <x:c r="AD15" s="8" t="n">
        <x:v>0</x:v>
      </x:c>
      <x:c r="AE15" s="8" t="n">
        <x:f>'现金流原表'!G277</x:f>
        <x:v>-51219997.68</x:v>
      </x:c>
      <x:c r="AF15" s="8" t="n">
        <x:f>Q15-AC15</x:f>
        <x:v>0</x:v>
      </x:c>
      <x:c r="AG15" s="8" t="n">
        <x:f>R15-AD15</x:f>
        <x:v>0</x:v>
      </x:c>
      <x:c r="AH15" s="8" t="n">
        <x:f>S15-AE15</x:f>
        <x:v>0</x:v>
      </x:c>
      <x:c r="AI15" s="4" t="str">
        <x:v>华夏华润商业REIT_2025中报_20250830.pdf，现金流量表；原表底稿按逐行物理页定位</x:v>
      </x:c>
    </x:row>
    <x:row r="16" ht="42" customHeight="1">
      <x:c r="A16" s="4" t="str">
        <x:v>华夏合肥高新REIT</x:v>
      </x:c>
      <x:c r="B16" s="4" t="str">
        <x:v>2024年度</x:v>
      </x:c>
      <x:c r="C16" s="4" t="str">
        <x:v>合并</x:v>
      </x:c>
      <x:c r="D16" s="4" t="str">
        <x:v>本期</x:v>
      </x:c>
      <x:c r="E16" s="8" t="n">
        <x:f>SUM('现金流原表'!F282:F288)</x:f>
        <x:v>109566870.53999999</x:v>
      </x:c>
      <x:c r="F16" s="8" t="n">
        <x:f>'现金流原表'!F289</x:f>
        <x:v>109566870.54</x:v>
      </x:c>
      <x:c r="G16" s="8" t="n">
        <x:f>SUM('现金流原表'!F290:F296)</x:f>
        <x:v>56239013.089999996</x:v>
      </x:c>
      <x:c r="H16" s="8" t="n">
        <x:f>'现金流原表'!F297</x:f>
        <x:v>56239013.09</x:v>
      </x:c>
      <x:c r="I16" s="8" t="n">
        <x:f>SUM('现金流原表'!F299:F301)</x:f>
        <x:v>28500000</x:v>
      </x:c>
      <x:c r="J16" s="8" t="n">
        <x:f>'现金流原表'!F302</x:f>
        <x:v>28500000</x:v>
      </x:c>
      <x:c r="K16" s="8" t="n">
        <x:f>SUM('现金流原表'!F303:F305)</x:f>
        <x:v>0</x:v>
      </x:c>
      <x:c r="L16" s="8" t="n">
        <x:f>'现金流原表'!F306</x:f>
        <x:v>0</x:v>
      </x:c>
      <x:c r="M16" s="8" t="n">
        <x:f>SUM('现金流原表'!F308:F310)</x:f>
        <x:v>0</x:v>
      </x:c>
      <x:c r="N16" s="8" t="n">
        <x:f>'现金流原表'!F311</x:f>
        <x:v>0</x:v>
      </x:c>
      <x:c r="O16" s="8" t="n">
        <x:f>SUM('现金流原表'!F312:F316)</x:f>
        <x:v>95171545.28</x:v>
      </x:c>
      <x:c r="P16" s="8" t="n">
        <x:f>'现金流原表'!F317</x:f>
        <x:v>95171545.28</x:v>
      </x:c>
      <x:c r="Q16" s="8" t="n">
        <x:f>E16-G16</x:f>
        <x:v>53327857.449999996</x:v>
      </x:c>
      <x:c r="R16" s="8" t="n">
        <x:f>I16-K16</x:f>
        <x:v>28500000</x:v>
      </x:c>
      <x:c r="S16" s="8" t="n">
        <x:f>M16-O16</x:f>
        <x:v>-95171545.28</x:v>
      </x:c>
      <x:c r="T16" s="8" t="n">
        <x:f>'现金流原表'!F319</x:f>
        <x:v>0</x:v>
      </x:c>
      <x:c r="U16" s="8" t="n">
        <x:f>SUM(Q16:T16)</x:f>
        <x:v>-13343687.830000013</x:v>
      </x:c>
      <x:c r="V16" s="8" t="n">
        <x:f>'现金流原表'!F320</x:f>
        <x:v>-13343687.83</x:v>
      </x:c>
      <x:c r="W16" s="8" t="n">
        <x:f>U16-V16</x:f>
        <x:v>-1.30385160446167e-8</x:v>
      </x:c>
      <x:c r="X16" s="8" t="n">
        <x:f>'现金流原表'!F321</x:f>
        <x:v>55322724.14</x:v>
      </x:c>
      <x:c r="Y16" s="8" t="n">
        <x:f>X16+U16</x:f>
        <x:v>41979036.30999999</x:v>
      </x:c>
      <x:c r="Z16" s="8" t="n">
        <x:f>'现金流原表'!F322</x:f>
        <x:v>41979036.31</x:v>
      </x:c>
      <x:c r="AA16" s="8" t="n">
        <x:f>Y16-Z16</x:f>
        <x:v>-1.4901161193847656e-8</x:v>
      </x:c>
      <x:c r="AB16" s="8" t="n">
        <x:f>MAX(ABS(E16-F16),ABS(G16-H16),ABS(I16-J16),ABS(K16-L16),ABS(M16-N16),ABS(O16-P16))</x:f>
        <x:v>1.4901161193847656e-8</x:v>
      </x:c>
      <x:c r="AC16" s="8" t="n">
        <x:f>'现金流原表'!F298</x:f>
        <x:v>53327857.45</x:v>
      </x:c>
      <x:c r="AD16" s="8" t="n">
        <x:f>'现金流原表'!F307</x:f>
        <x:v>28500000</x:v>
      </x:c>
      <x:c r="AE16" s="8" t="n">
        <x:f>'现金流原表'!F318</x:f>
        <x:v>-95171545.28</x:v>
      </x:c>
      <x:c r="AF16" s="8" t="n">
        <x:f>Q16-AC16</x:f>
        <x:v>-7.450580596923828e-9</x:v>
      </x:c>
      <x:c r="AG16" s="8" t="n">
        <x:f>R16-AD16</x:f>
        <x:v>0</x:v>
      </x:c>
      <x:c r="AH16" s="8" t="n">
        <x:f>S16-AE16</x:f>
        <x:v>0</x:v>
      </x:c>
      <x:c r="AI16" s="4" t="str">
        <x:v>华夏合肥高新REIT_2024年报_20250331.pdf，现金流量表；原表底稿按逐行物理页定位</x:v>
      </x:c>
    </x:row>
    <x:row r="17" ht="42" customHeight="1">
      <x:c r="A17" s="4" t="str">
        <x:v>华夏合肥高新REIT</x:v>
      </x:c>
      <x:c r="B17" s="4" t="str">
        <x:v>2024年度</x:v>
      </x:c>
      <x:c r="C17" s="4" t="str">
        <x:v>合并</x:v>
      </x:c>
      <x:c r="D17" s="4" t="str">
        <x:v>原表比较期间</x:v>
      </x:c>
      <x:c r="E17" s="8" t="n">
        <x:f>SUM('现金流原表'!G282:G288)</x:f>
        <x:v>135256733.45</x:v>
      </x:c>
      <x:c r="F17" s="8" t="n">
        <x:f>'现金流原表'!G289</x:f>
        <x:v>135256733.45</x:v>
      </x:c>
      <x:c r="G17" s="8" t="n">
        <x:f>SUM('现金流原表'!G290:G296)</x:f>
        <x:v>40918118.72</x:v>
      </x:c>
      <x:c r="H17" s="8" t="n">
        <x:f>'现金流原表'!G297</x:f>
        <x:v>40918118.72</x:v>
      </x:c>
      <x:c r="I17" s="8" t="n">
        <x:f>SUM('现金流原表'!G299:G301)</x:f>
        <x:v>5000000</x:v>
      </x:c>
      <x:c r="J17" s="8" t="n">
        <x:f>'现金流原表'!G302</x:f>
        <x:v>5000000</x:v>
      </x:c>
      <x:c r="K17" s="8" t="n">
        <x:f>SUM('现金流原表'!G303:G305)</x:f>
        <x:v>50059800</x:v>
      </x:c>
      <x:c r="L17" s="8" t="n">
        <x:f>'现金流原表'!G306</x:f>
        <x:v>50059800</x:v>
      </x:c>
      <x:c r="M17" s="8" t="n">
        <x:f>SUM('现金流原表'!G308:G310)</x:f>
        <x:v>0</x:v>
      </x:c>
      <x:c r="N17" s="8" t="n">
        <x:f>'现金流原表'!G311</x:f>
        <x:v>0</x:v>
      </x:c>
      <x:c r="O17" s="8" t="n">
        <x:f>SUM('现金流原表'!G312:G316)</x:f>
        <x:v>58148739.02</x:v>
      </x:c>
      <x:c r="P17" s="8" t="n">
        <x:f>'现金流原表'!G317</x:f>
        <x:v>58148739.02</x:v>
      </x:c>
      <x:c r="Q17" s="8" t="n">
        <x:f>E17-G17</x:f>
        <x:v>94338614.72999999</x:v>
      </x:c>
      <x:c r="R17" s="8" t="n">
        <x:f>I17-K17</x:f>
        <x:v>-45059800</x:v>
      </x:c>
      <x:c r="S17" s="8" t="n">
        <x:f>M17-O17</x:f>
        <x:v>-58148739.02</x:v>
      </x:c>
      <x:c r="T17" s="8" t="n">
        <x:f>'现金流原表'!G319</x:f>
        <x:v>0</x:v>
      </x:c>
      <x:c r="U17" s="8" t="n">
        <x:f>SUM(Q17:T17)</x:f>
        <x:v>-8869924.290000014</x:v>
      </x:c>
      <x:c r="V17" s="8" t="n">
        <x:f>'现金流原表'!G320</x:f>
        <x:v>-8869924.29</x:v>
      </x:c>
      <x:c r="W17" s="8" t="n">
        <x:f>U17-V17</x:f>
        <x:v>-1.4901161193847656e-8</x:v>
      </x:c>
      <x:c r="X17" s="8" t="n">
        <x:f>'现金流原表'!G321</x:f>
        <x:v>64192648.43</x:v>
      </x:c>
      <x:c r="Y17" s="8" t="n">
        <x:f>X17+U17</x:f>
        <x:v>55322724.139999986</x:v>
      </x:c>
      <x:c r="Z17" s="8" t="n">
        <x:f>'现金流原表'!G322</x:f>
        <x:v>55322724.14</x:v>
      </x:c>
      <x:c r="AA17" s="8" t="n">
        <x:f>Y17-Z17</x:f>
        <x:v>-1.4901161193847656e-8</x:v>
      </x:c>
      <x:c r="AB17" s="8" t="n">
        <x:f>MAX(ABS(E17-F17),ABS(G17-H17),ABS(I17-J17),ABS(K17-L17),ABS(M17-N17),ABS(O17-P17))</x:f>
        <x:v>0</x:v>
      </x:c>
      <x:c r="AC17" s="8" t="n">
        <x:f>'现金流原表'!G298</x:f>
        <x:v>94338614.73</x:v>
      </x:c>
      <x:c r="AD17" s="8" t="n">
        <x:f>'现金流原表'!G307</x:f>
        <x:v>-45059800</x:v>
      </x:c>
      <x:c r="AE17" s="8" t="n">
        <x:f>'现金流原表'!G318</x:f>
        <x:v>-58148739.02</x:v>
      </x:c>
      <x:c r="AF17" s="8" t="n">
        <x:f>Q17-AC17</x:f>
        <x:v>-1.4901161193847656e-8</x:v>
      </x:c>
      <x:c r="AG17" s="8" t="n">
        <x:f>R17-AD17</x:f>
        <x:v>0</x:v>
      </x:c>
      <x:c r="AH17" s="8" t="n">
        <x:f>S17-AE17</x:f>
        <x:v>0</x:v>
      </x:c>
      <x:c r="AI17" s="4" t="str">
        <x:v>华夏合肥高新REIT_2024年报_20250331.pdf，现金流量表；原表底稿按逐行物理页定位</x:v>
      </x:c>
    </x:row>
    <x:row r="18" ht="42" customHeight="1">
      <x:c r="A18" s="4" t="str">
        <x:v>华夏合肥高新REIT</x:v>
      </x:c>
      <x:c r="B18" s="4" t="str">
        <x:v>2024年度</x:v>
      </x:c>
      <x:c r="C18" s="4" t="str">
        <x:v>基金个别</x:v>
      </x:c>
      <x:c r="D18" s="4" t="str">
        <x:v>本期</x:v>
      </x:c>
      <x:c r="E18" s="8" t="n">
        <x:f>SUM('现金流原表'!F323:F329)</x:f>
        <x:v>100173699.87</x:v>
      </x:c>
      <x:c r="F18" s="8" t="n">
        <x:f>'现金流原表'!F330</x:f>
        <x:v>100173699.87</x:v>
      </x:c>
      <x:c r="G18" s="8" t="n">
        <x:f>SUM('现金流原表'!F331:F336)</x:f>
        <x:v>4030018.01</x:v>
      </x:c>
      <x:c r="H18" s="8" t="n">
        <x:f>'现金流原表'!F337</x:f>
        <x:v>4030018.01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n">
        <x:f>SUM('现金流原表'!F339:F340)</x:f>
        <x:v>0</x:v>
      </x:c>
      <x:c r="N18" s="8" t="n">
        <x:f>'现金流原表'!F341</x:f>
        <x:v>0</x:v>
      </x:c>
      <x:c r="O18" s="8" t="n">
        <x:f>SUM('现金流原表'!F342:F345)</x:f>
        <x:v>95171545.28</x:v>
      </x:c>
      <x:c r="P18" s="8" t="n">
        <x:f>'现金流原表'!F346</x:f>
        <x:v>95171545.28</x:v>
      </x:c>
      <x:c r="Q18" s="8" t="n">
        <x:f>E18-G18</x:f>
        <x:v>96143681.86</x:v>
      </x:c>
      <x:c r="R18" s="8" t="n">
        <x:f>I18-K18</x:f>
        <x:v>0</x:v>
      </x:c>
      <x:c r="S18" s="8" t="n">
        <x:f>M18-O18</x:f>
        <x:v>-95171545.28</x:v>
      </x:c>
      <x:c r="T18" s="8" t="n">
        <x:f>'现金流原表'!F348</x:f>
        <x:v>0</x:v>
      </x:c>
      <x:c r="U18" s="8" t="n">
        <x:f>SUM(Q18:T18)</x:f>
        <x:v>972136.5799999982</x:v>
      </x:c>
      <x:c r="V18" s="8" t="n">
        <x:f>'现金流原表'!F349</x:f>
        <x:v>972136.58</x:v>
      </x:c>
      <x:c r="W18" s="8" t="n">
        <x:f>U18-V18</x:f>
        <x:v>-1.7462298274040222e-9</x:v>
      </x:c>
      <x:c r="X18" s="8" t="n">
        <x:f>'现金流原表'!F350</x:f>
        <x:v>2985261.01</x:v>
      </x:c>
      <x:c r="Y18" s="8" t="n">
        <x:f>X18+U18</x:f>
        <x:v>3957397.589999998</x:v>
      </x:c>
      <x:c r="Z18" s="8" t="n">
        <x:f>'现金流原表'!F351</x:f>
        <x:v>3957397.59</x:v>
      </x:c>
      <x:c r="AA18" s="8" t="n">
        <x:f>Y18-Z18</x:f>
        <x:v>-1.862645149230957e-9</x:v>
      </x:c>
      <x:c r="AB18" s="8" t="n">
        <x:f>MAX(ABS(E18-F18),ABS(G18-H18),ABS(I18-J18),ABS(K18-L18),ABS(M18-N18),ABS(O18-P18))</x:f>
        <x:v>0</x:v>
      </x:c>
      <x:c r="AC18" s="8" t="n">
        <x:f>'现金流原表'!F338</x:f>
        <x:v>96143681.86</x:v>
      </x:c>
      <x:c r="AD18" s="8" t="n">
        <x:v>0</x:v>
      </x:c>
      <x:c r="AE18" s="8" t="n">
        <x:f>'现金流原表'!F347</x:f>
        <x:v>-95171545.28</x:v>
      </x:c>
      <x:c r="AF18" s="8" t="n">
        <x:f>Q18-AC18</x:f>
        <x:v>0</x:v>
      </x:c>
      <x:c r="AG18" s="8" t="n">
        <x:f>R18-AD18</x:f>
        <x:v>0</x:v>
      </x:c>
      <x:c r="AH18" s="8" t="n">
        <x:f>S18-AE18</x:f>
        <x:v>0</x:v>
      </x:c>
      <x:c r="AI18" s="4" t="str">
        <x:v>华夏合肥高新REIT_2024年报_20250331.pdf，现金流量表；原表底稿按逐行物理页定位</x:v>
      </x:c>
    </x:row>
    <x:row r="19" ht="42" customHeight="1">
      <x:c r="A19" s="4" t="str">
        <x:v>华夏合肥高新REIT</x:v>
      </x:c>
      <x:c r="B19" s="4" t="str">
        <x:v>2024年度</x:v>
      </x:c>
      <x:c r="C19" s="4" t="str">
        <x:v>基金个别</x:v>
      </x:c>
      <x:c r="D19" s="4" t="str">
        <x:v>原表比较期间</x:v>
      </x:c>
      <x:c r="E19" s="8" t="n">
        <x:f>SUM('现金流原表'!G323:G329)</x:f>
        <x:v>53287449.37</x:v>
      </x:c>
      <x:c r="F19" s="8" t="n">
        <x:f>'现金流原表'!G330</x:f>
        <x:v>53287449.37</x:v>
      </x:c>
      <x:c r="G19" s="8" t="n">
        <x:f>SUM('现金流原表'!G331:G336)</x:f>
        <x:v>1151612</x:v>
      </x:c>
      <x:c r="H19" s="8" t="n">
        <x:f>'现金流原表'!G337</x:f>
        <x:v>1151612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n">
        <x:f>SUM('现金流原表'!G339:G340)</x:f>
        <x:v>0</x:v>
      </x:c>
      <x:c r="N19" s="8" t="n">
        <x:f>'现金流原表'!G341</x:f>
        <x:v>0</x:v>
      </x:c>
      <x:c r="O19" s="8" t="n">
        <x:f>SUM('现金流原表'!G342:G345)</x:f>
        <x:v>58148739.02</x:v>
      </x:c>
      <x:c r="P19" s="8" t="n">
        <x:f>'现金流原表'!G346</x:f>
        <x:v>58148739.02</x:v>
      </x:c>
      <x:c r="Q19" s="8" t="n">
        <x:f>E19-G19</x:f>
        <x:v>52135837.37</x:v>
      </x:c>
      <x:c r="R19" s="8" t="n">
        <x:f>I19-K19</x:f>
        <x:v>0</x:v>
      </x:c>
      <x:c r="S19" s="8" t="n">
        <x:f>M19-O19</x:f>
        <x:v>-58148739.02</x:v>
      </x:c>
      <x:c r="T19" s="8" t="n">
        <x:f>'现金流原表'!G348</x:f>
        <x:v>0</x:v>
      </x:c>
      <x:c r="U19" s="8" t="n">
        <x:f>SUM(Q19:T19)</x:f>
        <x:v>-6012901.650000006</x:v>
      </x:c>
      <x:c r="V19" s="8" t="n">
        <x:f>'现金流原表'!G349</x:f>
        <x:v>-6012901.65</x:v>
      </x:c>
      <x:c r="W19" s="8" t="n">
        <x:f>U19-V19</x:f>
        <x:v>-5.587935447692871e-9</x:v>
      </x:c>
      <x:c r="X19" s="8" t="n">
        <x:f>'现金流原表'!G350</x:f>
        <x:v>8998162.66</x:v>
      </x:c>
      <x:c r="Y19" s="8" t="n">
        <x:f>X19+U19</x:f>
        <x:v>2985261.009999994</x:v>
      </x:c>
      <x:c r="Z19" s="8" t="n">
        <x:f>'现金流原表'!G351</x:f>
        <x:v>2985261.01</x:v>
      </x:c>
      <x:c r="AA19" s="8" t="n">
        <x:f>Y19-Z19</x:f>
        <x:v>-5.587935447692871e-9</x:v>
      </x:c>
      <x:c r="AB19" s="8" t="n">
        <x:f>MAX(ABS(E19-F19),ABS(G19-H19),ABS(I19-J19),ABS(K19-L19),ABS(M19-N19),ABS(O19-P19))</x:f>
        <x:v>0</x:v>
      </x:c>
      <x:c r="AC19" s="8" t="n">
        <x:f>'现金流原表'!G338</x:f>
        <x:v>52135837.37</x:v>
      </x:c>
      <x:c r="AD19" s="8" t="n">
        <x:v>0</x:v>
      </x:c>
      <x:c r="AE19" s="8" t="n">
        <x:f>'现金流原表'!G347</x:f>
        <x:v>-58148739.02</x:v>
      </x:c>
      <x:c r="AF19" s="8" t="n">
        <x:f>Q19-AC19</x:f>
        <x:v>0</x:v>
      </x:c>
      <x:c r="AG19" s="8" t="n">
        <x:f>R19-AD19</x:f>
        <x:v>0</x:v>
      </x:c>
      <x:c r="AH19" s="8" t="n">
        <x:f>S19-AE19</x:f>
        <x:v>0</x:v>
      </x:c>
      <x:c r="AI19" s="4" t="str">
        <x:v>华夏合肥高新REIT_2024年报_20250331.pdf，现金流量表；原表底稿按逐行物理页定位</x:v>
      </x:c>
    </x:row>
    <x:row r="20" ht="42" customHeight="1">
      <x:c r="A20" s="4" t="str">
        <x:v>华夏合肥高新REIT</x:v>
      </x:c>
      <x:c r="B20" s="4" t="str">
        <x:v>2025上半年</x:v>
      </x:c>
      <x:c r="C20" s="4" t="str">
        <x:v>合并</x:v>
      </x:c>
      <x:c r="D20" s="4" t="str">
        <x:v>本期</x:v>
      </x:c>
      <x:c r="E20" s="8" t="n">
        <x:f>SUM('现金流原表'!F352:F358)</x:f>
        <x:v>52962315.33</x:v>
      </x:c>
      <x:c r="F20" s="8" t="n">
        <x:f>'现金流原表'!F359</x:f>
        <x:v>52962315.33</x:v>
      </x:c>
      <x:c r="G20" s="8" t="n">
        <x:f>SUM('现金流原表'!F360:F366)</x:f>
        <x:v>34850693.03</x:v>
      </x:c>
      <x:c r="H20" s="8" t="n">
        <x:f>'现金流原表'!F367</x:f>
        <x:v>34850693.03</x:v>
      </x:c>
      <x:c r="I20" s="8" t="n">
        <x:f>SUM('现金流原表'!F369:F371)</x:f>
        <x:v>12650000</x:v>
      </x:c>
      <x:c r="J20" s="8" t="n">
        <x:f>'现金流原表'!F372</x:f>
        <x:v>12650000</x:v>
      </x:c>
      <x:c r="K20" s="8" t="n">
        <x:f>SUM('现金流原表'!F373:F375)</x:f>
        <x:v>0</x:v>
      </x:c>
      <x:c r="L20" s="8" t="n">
        <x:f>'现金流原表'!F376</x:f>
        <x:v>0</x:v>
      </x:c>
      <x:c r="M20" s="8" t="n">
        <x:f>SUM('现金流原表'!F378:F380)</x:f>
        <x:v>0</x:v>
      </x:c>
      <x:c r="N20" s="8" t="n">
        <x:f>'现金流原表'!F381</x:f>
        <x:v>0</x:v>
      </x:c>
      <x:c r="O20" s="8" t="n">
        <x:f>SUM('现金流原表'!F382:F386)</x:f>
        <x:v>36028853.55</x:v>
      </x:c>
      <x:c r="P20" s="8" t="n">
        <x:f>'现金流原表'!F387</x:f>
        <x:v>36028853.55</x:v>
      </x:c>
      <x:c r="Q20" s="8" t="n">
        <x:f>E20-G20</x:f>
        <x:v>18111622.299999997</x:v>
      </x:c>
      <x:c r="R20" s="8" t="n">
        <x:f>I20-K20</x:f>
        <x:v>12650000</x:v>
      </x:c>
      <x:c r="S20" s="8" t="n">
        <x:f>M20-O20</x:f>
        <x:v>-36028853.55</x:v>
      </x:c>
      <x:c r="T20" s="8" t="n">
        <x:f>'现金流原表'!F389</x:f>
        <x:v>0</x:v>
      </x:c>
      <x:c r="U20" s="8" t="n">
        <x:f>SUM(Q20:T20)</x:f>
        <x:v>-5267231.25</x:v>
      </x:c>
      <x:c r="V20" s="8" t="n">
        <x:f>'现金流原表'!F390</x:f>
        <x:v>-5267231.25</x:v>
      </x:c>
      <x:c r="W20" s="8" t="n">
        <x:f>U20-V20</x:f>
        <x:v>0</x:v>
      </x:c>
      <x:c r="X20" s="8" t="n">
        <x:f>'现金流原表'!F391</x:f>
        <x:v>41979036.31</x:v>
      </x:c>
      <x:c r="Y20" s="8" t="n">
        <x:f>X20+U20</x:f>
        <x:v>36711805.06</x:v>
      </x:c>
      <x:c r="Z20" s="8" t="n">
        <x:f>'现金流原表'!F392</x:f>
        <x:v>36711805.06</x:v>
      </x:c>
      <x:c r="AA20" s="8" t="n">
        <x:f>Y20-Z20</x:f>
        <x:v>0</x:v>
      </x:c>
      <x:c r="AB20" s="8" t="n">
        <x:f>MAX(ABS(E20-F20),ABS(G20-H20),ABS(I20-J20),ABS(K20-L20),ABS(M20-N20),ABS(O20-P20))</x:f>
        <x:v>0</x:v>
      </x:c>
      <x:c r="AC20" s="8" t="n">
        <x:f>'现金流原表'!F368</x:f>
        <x:v>18111622.3</x:v>
      </x:c>
      <x:c r="AD20" s="8" t="n">
        <x:f>'现金流原表'!F377</x:f>
        <x:v>12650000</x:v>
      </x:c>
      <x:c r="AE20" s="8" t="n">
        <x:f>'现金流原表'!F388</x:f>
        <x:v>-36028853.55</x:v>
      </x:c>
      <x:c r="AF20" s="8" t="n">
        <x:f>Q20-AC20</x:f>
        <x:v>-3.725290298461914e-9</x:v>
      </x:c>
      <x:c r="AG20" s="8" t="n">
        <x:f>R20-AD20</x:f>
        <x:v>0</x:v>
      </x:c>
      <x:c r="AH20" s="8" t="n">
        <x:f>S20-AE20</x:f>
        <x:v>0</x:v>
      </x:c>
      <x:c r="AI20" s="4" t="str">
        <x:v>华夏合肥高新REIT_2025中报_20250830.pdf，现金流量表；原表底稿按逐行物理页定位</x:v>
      </x:c>
    </x:row>
    <x:row r="21" ht="42" customHeight="1">
      <x:c r="A21" s="4" t="str">
        <x:v>华夏合肥高新REIT</x:v>
      </x:c>
      <x:c r="B21" s="4" t="str">
        <x:v>2025上半年</x:v>
      </x:c>
      <x:c r="C21" s="4" t="str">
        <x:v>合并</x:v>
      </x:c>
      <x:c r="D21" s="4" t="str">
        <x:v>原表比较期间</x:v>
      </x:c>
      <x:c r="E21" s="8" t="n">
        <x:f>SUM('现金流原表'!G352:G358)</x:f>
        <x:v>56310129.19</x:v>
      </x:c>
      <x:c r="F21" s="8" t="n">
        <x:f>'现金流原表'!G359</x:f>
        <x:v>56310129.19</x:v>
      </x:c>
      <x:c r="G21" s="8" t="n">
        <x:f>SUM('现金流原表'!G360:G366)</x:f>
        <x:v>35526971.37</x:v>
      </x:c>
      <x:c r="H21" s="8" t="n">
        <x:f>'现金流原表'!G367</x:f>
        <x:v>35526971.37</x:v>
      </x:c>
      <x:c r="I21" s="8" t="n">
        <x:f>SUM('现金流原表'!G369:G371)</x:f>
        <x:v>9000000</x:v>
      </x:c>
      <x:c r="J21" s="8" t="n">
        <x:f>'现金流原表'!G372</x:f>
        <x:v>9000000</x:v>
      </x:c>
      <x:c r="K21" s="8" t="n">
        <x:f>SUM('现金流原表'!G373:G375)</x:f>
        <x:v>0</x:v>
      </x:c>
      <x:c r="L21" s="8" t="n">
        <x:f>'现金流原表'!G376</x:f>
        <x:v>0</x:v>
      </x:c>
      <x:c r="M21" s="8" t="n">
        <x:f>SUM('现金流原表'!G378:G380)</x:f>
        <x:v>0</x:v>
      </x:c>
      <x:c r="N21" s="8" t="n">
        <x:f>'现金流原表'!G381</x:f>
        <x:v>0</x:v>
      </x:c>
      <x:c r="O21" s="8" t="n">
        <x:f>SUM('现金流原表'!G382:G386)</x:f>
        <x:v>57371708.04</x:v>
      </x:c>
      <x:c r="P21" s="8" t="n">
        <x:f>'现金流原表'!G387</x:f>
        <x:v>57371708.04</x:v>
      </x:c>
      <x:c r="Q21" s="8" t="n">
        <x:f>E21-G21</x:f>
        <x:v>20783157.82</x:v>
      </x:c>
      <x:c r="R21" s="8" t="n">
        <x:f>I21-K21</x:f>
        <x:v>9000000</x:v>
      </x:c>
      <x:c r="S21" s="8" t="n">
        <x:f>M21-O21</x:f>
        <x:v>-57371708.04</x:v>
      </x:c>
      <x:c r="T21" s="8" t="n">
        <x:f>'现金流原表'!G389</x:f>
        <x:v>0</x:v>
      </x:c>
      <x:c r="U21" s="8" t="n">
        <x:f>SUM(Q21:T21)</x:f>
        <x:v>-27588550.22</x:v>
      </x:c>
      <x:c r="V21" s="8" t="n">
        <x:f>'现金流原表'!G390</x:f>
        <x:v>-27588550.22</x:v>
      </x:c>
      <x:c r="W21" s="8" t="n">
        <x:f>U21-V21</x:f>
        <x:v>0</x:v>
      </x:c>
      <x:c r="X21" s="8" t="n">
        <x:f>'现金流原表'!G391</x:f>
        <x:v>55322724.14</x:v>
      </x:c>
      <x:c r="Y21" s="8" t="n">
        <x:f>X21+U21</x:f>
        <x:v>27734173.92</x:v>
      </x:c>
      <x:c r="Z21" s="8" t="n">
        <x:f>'现金流原表'!G392</x:f>
        <x:v>27734173.92</x:v>
      </x:c>
      <x:c r="AA21" s="8" t="n">
        <x:f>Y21-Z21</x:f>
        <x:v>0</x:v>
      </x:c>
      <x:c r="AB21" s="8" t="n">
        <x:f>MAX(ABS(E21-F21),ABS(G21-H21),ABS(I21-J21),ABS(K21-L21),ABS(M21-N21),ABS(O21-P21))</x:f>
        <x:v>0</x:v>
      </x:c>
      <x:c r="AC21" s="8" t="n">
        <x:f>'现金流原表'!G368</x:f>
        <x:v>20783157.82</x:v>
      </x:c>
      <x:c r="AD21" s="8" t="n">
        <x:f>'现金流原表'!G377</x:f>
        <x:v>9000000</x:v>
      </x:c>
      <x:c r="AE21" s="8" t="n">
        <x:f>'现金流原表'!G388</x:f>
        <x:v>-57371708.04</x:v>
      </x:c>
      <x:c r="AF21" s="8" t="n">
        <x:f>Q21-AC21</x:f>
        <x:v>0</x:v>
      </x:c>
      <x:c r="AG21" s="8" t="n">
        <x:f>R21-AD21</x:f>
        <x:v>0</x:v>
      </x:c>
      <x:c r="AH21" s="8" t="n">
        <x:f>S21-AE21</x:f>
        <x:v>0</x:v>
      </x:c>
      <x:c r="AI21" s="4" t="str">
        <x:v>华夏合肥高新REIT_2025中报_20250830.pdf，现金流量表；原表底稿按逐行物理页定位</x:v>
      </x:c>
    </x:row>
    <x:row r="22" ht="42" customHeight="1">
      <x:c r="A22" s="4" t="str">
        <x:v>华夏合肥高新REIT</x:v>
      </x:c>
      <x:c r="B22" s="4" t="str">
        <x:v>2025上半年</x:v>
      </x:c>
      <x:c r="C22" s="4" t="str">
        <x:v>基金个别</x:v>
      </x:c>
      <x:c r="D22" s="4" t="str">
        <x:v>本期</x:v>
      </x:c>
      <x:c r="E22" s="8" t="n">
        <x:f>SUM('现金流原表'!F393:F399)</x:f>
        <x:v>37312886.57</x:v>
      </x:c>
      <x:c r="F22" s="8" t="n">
        <x:f>'现金流原表'!F400</x:f>
        <x:v>37312886.57</x:v>
      </x:c>
      <x:c r="G22" s="8" t="n">
        <x:f>SUM('现金流原表'!F401:F406)</x:f>
        <x:v>3953232.9</x:v>
      </x:c>
      <x:c r="H22" s="8" t="n">
        <x:f>'现金流原表'!F407</x:f>
        <x:v>3953232.9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f>SUM('现金流原表'!F409:F410)</x:f>
        <x:v>0</x:v>
      </x:c>
      <x:c r="N22" s="8" t="n">
        <x:f>'现金流原表'!F411</x:f>
        <x:v>0</x:v>
      </x:c>
      <x:c r="O22" s="8" t="n">
        <x:f>SUM('现金流原表'!F412:F415)</x:f>
        <x:v>36028853.55</x:v>
      </x:c>
      <x:c r="P22" s="8" t="n">
        <x:f>'现金流原表'!F416</x:f>
        <x:v>36028853.55</x:v>
      </x:c>
      <x:c r="Q22" s="8" t="n">
        <x:f>E22-G22</x:f>
        <x:v>33359653.67</x:v>
      </x:c>
      <x:c r="R22" s="8" t="n">
        <x:f>I22-K22</x:f>
        <x:v>0</x:v>
      </x:c>
      <x:c r="S22" s="8" t="n">
        <x:f>M22-O22</x:f>
        <x:v>-36028853.55</x:v>
      </x:c>
      <x:c r="T22" s="8" t="n">
        <x:f>'现金流原表'!F418</x:f>
        <x:v>0</x:v>
      </x:c>
      <x:c r="U22" s="8" t="n">
        <x:f>SUM(Q22:T22)</x:f>
        <x:v>-2669199.879999995</x:v>
      </x:c>
      <x:c r="V22" s="8" t="n">
        <x:f>'现金流原表'!F419</x:f>
        <x:v>-2669199.88</x:v>
      </x:c>
      <x:c r="W22" s="8" t="n">
        <x:f>U22-V22</x:f>
        <x:v>4.6566128730773926e-9</x:v>
      </x:c>
      <x:c r="X22" s="8" t="n">
        <x:f>'现金流原表'!F420</x:f>
        <x:v>3957397.59</x:v>
      </x:c>
      <x:c r="Y22" s="8" t="n">
        <x:f>X22+U22</x:f>
        <x:v>1288197.7100000046</x:v>
      </x:c>
      <x:c r="Z22" s="8" t="n">
        <x:f>'现金流原表'!F421</x:f>
        <x:v>1288197.71</x:v>
      </x:c>
      <x:c r="AA22" s="8" t="n">
        <x:f>Y22-Z22</x:f>
        <x:v>4.6566128730773926e-9</x:v>
      </x:c>
      <x:c r="AB22" s="8" t="n">
        <x:f>MAX(ABS(E22-F22),ABS(G22-H22),ABS(I22-J22),ABS(K22-L22),ABS(M22-N22),ABS(O22-P22))</x:f>
        <x:v>0</x:v>
      </x:c>
      <x:c r="AC22" s="8" t="n">
        <x:f>'现金流原表'!F408</x:f>
        <x:v>33359653.67</x:v>
      </x:c>
      <x:c r="AD22" s="8" t="n">
        <x:v>0</x:v>
      </x:c>
      <x:c r="AE22" s="8" t="n">
        <x:f>'现金流原表'!F417</x:f>
        <x:v>-36028853.55</x:v>
      </x:c>
      <x:c r="AF22" s="8" t="n">
        <x:f>Q22-AC22</x:f>
        <x:v>0</x:v>
      </x:c>
      <x:c r="AG22" s="8" t="n">
        <x:f>R22-AD22</x:f>
        <x:v>0</x:v>
      </x:c>
      <x:c r="AH22" s="8" t="n">
        <x:f>S22-AE22</x:f>
        <x:v>0</x:v>
      </x:c>
      <x:c r="AI22" s="4" t="str">
        <x:v>华夏合肥高新REIT_2025中报_20250830.pdf，现金流量表；原表底稿按逐行物理页定位</x:v>
      </x:c>
    </x:row>
    <x:row r="23" ht="42" customHeight="1">
      <x:c r="A23" s="4" t="str">
        <x:v>华夏合肥高新REIT</x:v>
      </x:c>
      <x:c r="B23" s="4" t="str">
        <x:v>2025上半年</x:v>
      </x:c>
      <x:c r="C23" s="4" t="str">
        <x:v>基金个别</x:v>
      </x:c>
      <x:c r="D23" s="4" t="str">
        <x:v>原表比较期间</x:v>
      </x:c>
      <x:c r="E23" s="8" t="n">
        <x:f>SUM('现金流原表'!G393:G399)</x:f>
        <x:v>59813835.04</x:v>
      </x:c>
      <x:c r="F23" s="8" t="n">
        <x:f>'现金流原表'!G400</x:f>
        <x:v>59813835.04</x:v>
      </x:c>
      <x:c r="G23" s="8" t="n">
        <x:f>SUM('现金流原表'!G401:G406)</x:f>
        <x:v>4030000.01</x:v>
      </x:c>
      <x:c r="H23" s="8" t="n">
        <x:f>'现金流原表'!G407</x:f>
        <x:v>4030000.01</x:v>
      </x:c>
      <x:c r="I23" s="8" t="n">
        <x:v>0</x:v>
      </x:c>
      <x:c r="J23" s="8" t="n">
        <x:v>0</x:v>
      </x:c>
      <x:c r="K23" s="8" t="n">
        <x:v>0</x:v>
      </x:c>
      <x:c r="L23" s="8" t="n">
        <x:v>0</x:v>
      </x:c>
      <x:c r="M23" s="8" t="n">
        <x:f>SUM('现金流原表'!G409:G410)</x:f>
        <x:v>0</x:v>
      </x:c>
      <x:c r="N23" s="8" t="n">
        <x:f>'现金流原表'!G411</x:f>
        <x:v>0</x:v>
      </x:c>
      <x:c r="O23" s="8" t="n">
        <x:f>SUM('现金流原表'!G412:G415)</x:f>
        <x:v>57371708.04</x:v>
      </x:c>
      <x:c r="P23" s="8" t="n">
        <x:f>'现金流原表'!G416</x:f>
        <x:v>57371708.04</x:v>
      </x:c>
      <x:c r="Q23" s="8" t="n">
        <x:f>E23-G23</x:f>
        <x:v>55783835.03</x:v>
      </x:c>
      <x:c r="R23" s="8" t="n">
        <x:f>I23-K23</x:f>
        <x:v>0</x:v>
      </x:c>
      <x:c r="S23" s="8" t="n">
        <x:f>M23-O23</x:f>
        <x:v>-57371708.04</x:v>
      </x:c>
      <x:c r="T23" s="8" t="n">
        <x:f>'现金流原表'!G418</x:f>
        <x:v>0</x:v>
      </x:c>
      <x:c r="U23" s="8" t="n">
        <x:f>SUM(Q23:T23)</x:f>
        <x:v>-1587873.009999998</x:v>
      </x:c>
      <x:c r="V23" s="8" t="n">
        <x:f>'现金流原表'!G419</x:f>
        <x:v>-1587873.01</x:v>
      </x:c>
      <x:c r="W23" s="8" t="n">
        <x:f>U23-V23</x:f>
        <x:v>2.0954757928848267e-9</x:v>
      </x:c>
      <x:c r="X23" s="8" t="n">
        <x:f>'现金流原表'!G420</x:f>
        <x:v>2985261.01</x:v>
      </x:c>
      <x:c r="Y23" s="8" t="n">
        <x:f>X23+U23</x:f>
        <x:v>1397388.0000000019</x:v>
      </x:c>
      <x:c r="Z23" s="8" t="n">
        <x:f>'现金流原表'!G421</x:f>
        <x:v>1397388</x:v>
      </x:c>
      <x:c r="AA23" s="8" t="n">
        <x:f>Y23-Z23</x:f>
        <x:v>1.862645149230957e-9</x:v>
      </x:c>
      <x:c r="AB23" s="8" t="n">
        <x:f>MAX(ABS(E23-F23),ABS(G23-H23),ABS(I23-J23),ABS(K23-L23),ABS(M23-N23),ABS(O23-P23))</x:f>
        <x:v>0</x:v>
      </x:c>
      <x:c r="AC23" s="8" t="n">
        <x:f>'现金流原表'!G408</x:f>
        <x:v>55783835.03</x:v>
      </x:c>
      <x:c r="AD23" s="8" t="n">
        <x:v>0</x:v>
      </x:c>
      <x:c r="AE23" s="8" t="n">
        <x:f>'现金流原表'!G417</x:f>
        <x:v>-57371708.04</x:v>
      </x:c>
      <x:c r="AF23" s="8" t="n">
        <x:f>Q23-AC23</x:f>
        <x:v>0</x:v>
      </x:c>
      <x:c r="AG23" s="8" t="n">
        <x:f>R23-AD23</x:f>
        <x:v>0</x:v>
      </x:c>
      <x:c r="AH23" s="8" t="n">
        <x:f>S23-AE23</x:f>
        <x:v>0</x:v>
      </x:c>
      <x:c r="AI23" s="4" t="str">
        <x:v>华夏合肥高新REIT_2025中报_20250830.pdf，现金流量表；原表底稿按逐行物理页定位</x:v>
      </x:c>
    </x:row>
    <x:row r="24" ht="42" customHeight="1">
      <x:c r="A24" s="4" t="str">
        <x:v>华夏越秀高速REIT</x:v>
      </x:c>
      <x:c r="B24" s="4" t="str">
        <x:v>2024年度</x:v>
      </x:c>
      <x:c r="C24" s="4" t="str">
        <x:v>合并</x:v>
      </x:c>
      <x:c r="D24" s="4" t="str">
        <x:v>本期</x:v>
      </x:c>
      <x:c r="E24" s="8" t="n">
        <x:f>SUM('现金流原表'!F422:F428)</x:f>
        <x:v>246331600.85</x:v>
      </x:c>
      <x:c r="F24" s="8" t="n">
        <x:f>'现金流原表'!F429</x:f>
        <x:v>246331600.85</x:v>
      </x:c>
      <x:c r="G24" s="8" t="n">
        <x:f>SUM('现金流原表'!F430:F436)</x:f>
        <x:v>80638536.14</x:v>
      </x:c>
      <x:c r="H24" s="8" t="n">
        <x:f>'现金流原表'!F437</x:f>
        <x:v>80638536.14</x:v>
      </x:c>
      <x:c r="I24" s="8" t="n">
        <x:f>SUM('现金流原表'!F439:F441)</x:f>
        <x:v>158632443.43</x:v>
      </x:c>
      <x:c r="J24" s="8" t="n">
        <x:f>'现金流原表'!F442</x:f>
        <x:v>158632443.43</x:v>
      </x:c>
      <x:c r="K24" s="8" t="n">
        <x:f>SUM('现金流原表'!F443:F445)</x:f>
        <x:v>183338410.9</x:v>
      </x:c>
      <x:c r="L24" s="8" t="n">
        <x:f>'现金流原表'!F446</x:f>
        <x:v>183338410.9</x:v>
      </x:c>
      <x:c r="M24" s="8" t="n">
        <x:f>SUM('现金流原表'!F448:F450)</x:f>
        <x:v>0</x:v>
      </x:c>
      <x:c r="N24" s="8" t="n">
        <x:f>'现金流原表'!F451</x:f>
        <x:v>0</x:v>
      </x:c>
      <x:c r="O24" s="8" t="n">
        <x:f>SUM('现金流原表'!F452:F456)</x:f>
        <x:v>162931790.44</x:v>
      </x:c>
      <x:c r="P24" s="8" t="n">
        <x:f>'现金流原表'!F457</x:f>
        <x:v>162931790.44</x:v>
      </x:c>
      <x:c r="Q24" s="8" t="n">
        <x:f>E24-G24</x:f>
        <x:v>165693064.70999998</x:v>
      </x:c>
      <x:c r="R24" s="8" t="n">
        <x:f>I24-K24</x:f>
        <x:v>-24705967.47</x:v>
      </x:c>
      <x:c r="S24" s="8" t="n">
        <x:f>M24-O24</x:f>
        <x:v>-162931790.44</x:v>
      </x:c>
      <x:c r="T24" s="8" t="n">
        <x:f>'现金流原表'!F459</x:f>
        <x:v>0</x:v>
      </x:c>
      <x:c r="U24" s="8" t="n">
        <x:f>SUM(Q24:T24)</x:f>
        <x:v>-21944693.200000018</x:v>
      </x:c>
      <x:c r="V24" s="8" t="n">
        <x:f>'现金流原表'!F460</x:f>
        <x:v>-21944693.2</x:v>
      </x:c>
      <x:c r="W24" s="8" t="n">
        <x:f>U24-V24</x:f>
        <x:v>-1.862645149230957e-8</x:v>
      </x:c>
      <x:c r="X24" s="8" t="n">
        <x:f>'现金流原表'!F461</x:f>
        <x:v>36952691.23</x:v>
      </x:c>
      <x:c r="Y24" s="8" t="n">
        <x:f>X24+U24</x:f>
        <x:v>15007998.029999979</x:v>
      </x:c>
      <x:c r="Z24" s="8" t="n">
        <x:f>'现金流原表'!F462</x:f>
        <x:v>15007998.03</x:v>
      </x:c>
      <x:c r="AA24" s="8" t="n">
        <x:f>Y24-Z24</x:f>
        <x:v>-2.0489096641540527e-8</x:v>
      </x:c>
      <x:c r="AB24" s="8" t="n">
        <x:f>MAX(ABS(E24-F24),ABS(G24-H24),ABS(I24-J24),ABS(K24-L24),ABS(M24-N24),ABS(O24-P24))</x:f>
        <x:v>0</x:v>
      </x:c>
      <x:c r="AC24" s="8" t="n">
        <x:f>'现金流原表'!F438</x:f>
        <x:v>165693064.71</x:v>
      </x:c>
      <x:c r="AD24" s="8" t="n">
        <x:f>'现金流原表'!F447</x:f>
        <x:v>-24705967.47</x:v>
      </x:c>
      <x:c r="AE24" s="8" t="n">
        <x:f>'现金流原表'!F458</x:f>
        <x:v>-162931790.44</x:v>
      </x:c>
      <x:c r="AF24" s="8" t="n">
        <x:f>Q24-AC24</x:f>
        <x:v>-2.9802322387695312e-8</x:v>
      </x:c>
      <x:c r="AG24" s="8" t="n">
        <x:f>R24-AD24</x:f>
        <x:v>0</x:v>
      </x:c>
      <x:c r="AH24" s="8" t="n">
        <x:f>S24-AE24</x:f>
        <x:v>0</x:v>
      </x:c>
      <x:c r="AI24" s="4" t="str">
        <x:v>华夏越秀高速REIT_2024年报_20250331.pdf，现金流量表；原表底稿按逐行物理页定位</x:v>
      </x:c>
    </x:row>
    <x:row r="25" ht="42" customHeight="1">
      <x:c r="A25" s="4" t="str">
        <x:v>华夏越秀高速REIT</x:v>
      </x:c>
      <x:c r="B25" s="4" t="str">
        <x:v>2024年度</x:v>
      </x:c>
      <x:c r="C25" s="4" t="str">
        <x:v>合并</x:v>
      </x:c>
      <x:c r="D25" s="4" t="str">
        <x:v>原表比较期间</x:v>
      </x:c>
      <x:c r="E25" s="8" t="n">
        <x:f>SUM('现金流原表'!G422:G428)</x:f>
        <x:v>260262520.18</x:v>
      </x:c>
      <x:c r="F25" s="8" t="n">
        <x:f>'现金流原表'!G429</x:f>
        <x:v>260262520.18</x:v>
      </x:c>
      <x:c r="G25" s="8" t="n">
        <x:f>SUM('现金流原表'!G430:G436)</x:f>
        <x:v>70610564.79</x:v>
      </x:c>
      <x:c r="H25" s="8" t="n">
        <x:f>'现金流原表'!G437</x:f>
        <x:v>70610564.79</x:v>
      </x:c>
      <x:c r="I25" s="8" t="n">
        <x:f>SUM('现金流原表'!G439:G441)</x:f>
        <x:v>18040595</x:v>
      </x:c>
      <x:c r="J25" s="8" t="n">
        <x:f>'现金流原表'!G442</x:f>
        <x:v>18040595</x:v>
      </x:c>
      <x:c r="K25" s="8" t="n">
        <x:f>SUM('现金流原表'!G443:G445)</x:f>
        <x:v>24106987.72</x:v>
      </x:c>
      <x:c r="L25" s="8" t="n">
        <x:f>'现金流原表'!G446</x:f>
        <x:v>24106987.72</x:v>
      </x:c>
      <x:c r="M25" s="8" t="n">
        <x:f>SUM('现金流原表'!G448:G450)</x:f>
        <x:v>0</x:v>
      </x:c>
      <x:c r="N25" s="8" t="n">
        <x:f>'现金流原表'!G451</x:f>
        <x:v>0</x:v>
      </x:c>
      <x:c r="O25" s="8" t="n">
        <x:f>SUM('现金流原表'!G452:G456)</x:f>
        <x:v>209643539.15</x:v>
      </x:c>
      <x:c r="P25" s="8" t="n">
        <x:f>'现金流原表'!G457</x:f>
        <x:v>209643539.15</x:v>
      </x:c>
      <x:c r="Q25" s="8" t="n">
        <x:f>E25-G25</x:f>
        <x:v>189651955.39</x:v>
      </x:c>
      <x:c r="R25" s="8" t="n">
        <x:f>I25-K25</x:f>
        <x:v>-6066392.719999999</x:v>
      </x:c>
      <x:c r="S25" s="8" t="n">
        <x:f>M25-O25</x:f>
        <x:v>-209643539.15</x:v>
      </x:c>
      <x:c r="T25" s="8" t="n">
        <x:f>'现金流原表'!G459</x:f>
        <x:v>0</x:v>
      </x:c>
      <x:c r="U25" s="8" t="n">
        <x:f>SUM(Q25:T25)</x:f>
        <x:v>-26057976.48000002</x:v>
      </x:c>
      <x:c r="V25" s="8" t="n">
        <x:f>'现金流原表'!G460</x:f>
        <x:v>-26057976.48</x:v>
      </x:c>
      <x:c r="W25" s="8" t="n">
        <x:f>U25-V25</x:f>
        <x:v>-1.862645149230957e-8</x:v>
      </x:c>
      <x:c r="X25" s="8" t="n">
        <x:f>'现金流原表'!G461</x:f>
        <x:v>63010667.71</x:v>
      </x:c>
      <x:c r="Y25" s="8" t="n">
        <x:f>X25+U25</x:f>
        <x:v>36952691.22999998</x:v>
      </x:c>
      <x:c r="Z25" s="8" t="n">
        <x:f>'现金流原表'!G462</x:f>
        <x:v>36952691.23</x:v>
      </x:c>
      <x:c r="AA25" s="8" t="n">
        <x:f>Y25-Z25</x:f>
        <x:v>-1.4901161193847656e-8</x:v>
      </x:c>
      <x:c r="AB25" s="8" t="n">
        <x:f>MAX(ABS(E25-F25),ABS(G25-H25),ABS(I25-J25),ABS(K25-L25),ABS(M25-N25),ABS(O25-P25))</x:f>
        <x:v>0</x:v>
      </x:c>
      <x:c r="AC25" s="8" t="n">
        <x:f>'现金流原表'!G438</x:f>
        <x:v>189651955.39</x:v>
      </x:c>
      <x:c r="AD25" s="8" t="n">
        <x:f>'现金流原表'!G447</x:f>
        <x:v>-6066392.72</x:v>
      </x:c>
      <x:c r="AE25" s="8" t="n">
        <x:f>'现金流原表'!G458</x:f>
        <x:v>-209643539.15</x:v>
      </x:c>
      <x:c r="AF25" s="8" t="n">
        <x:f>Q25-AC25</x:f>
        <x:v>0</x:v>
      </x:c>
      <x:c r="AG25" s="8" t="n">
        <x:f>R25-AD25</x:f>
        <x:v>9.313225746154785e-10</x:v>
      </x:c>
      <x:c r="AH25" s="8" t="n">
        <x:f>S25-AE25</x:f>
        <x:v>0</x:v>
      </x:c>
      <x:c r="AI25" s="4" t="str">
        <x:v>华夏越秀高速REIT_2024年报_20250331.pdf，现金流量表；原表底稿按逐行物理页定位</x:v>
      </x:c>
    </x:row>
    <x:row r="26" ht="42" customHeight="1">
      <x:c r="A26" s="4" t="str">
        <x:v>华夏越秀高速REIT</x:v>
      </x:c>
      <x:c r="B26" s="4" t="str">
        <x:v>2024年度</x:v>
      </x:c>
      <x:c r="C26" s="4" t="str">
        <x:v>基金个别</x:v>
      </x:c>
      <x:c r="D26" s="4" t="str">
        <x:v>本期</x:v>
      </x:c>
      <x:c r="E26" s="8" t="n">
        <x:f>SUM('现金流原表'!F463:F469)</x:f>
        <x:v>157824401.13000003</x:v>
      </x:c>
      <x:c r="F26" s="8" t="n">
        <x:f>'现金流原表'!F470</x:f>
        <x:v>157824401.13</x:v>
      </x:c>
      <x:c r="G26" s="8" t="n">
        <x:f>SUM('现金流原表'!F471:F476)</x:f>
        <x:v>14859987.5</x:v>
      </x:c>
      <x:c r="H26" s="8" t="n">
        <x:f>'现金流原表'!F477</x:f>
        <x:v>14859987.5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f>SUM('现金流原表'!F479:F480)</x:f>
        <x:v>0</x:v>
      </x:c>
      <x:c r="N26" s="8" t="n">
        <x:f>'现金流原表'!F481</x:f>
        <x:v>0</x:v>
      </x:c>
      <x:c r="O26" s="8" t="n">
        <x:f>SUM('现金流原表'!F482:F485)</x:f>
        <x:v>142586503.55</x:v>
      </x:c>
      <x:c r="P26" s="8" t="n">
        <x:f>'现金流原表'!F486</x:f>
        <x:v>142586503.55</x:v>
      </x:c>
      <x:c r="Q26" s="8" t="n">
        <x:f>E26-G26</x:f>
        <x:v>142964413.63000003</x:v>
      </x:c>
      <x:c r="R26" s="8" t="n">
        <x:f>I26-K26</x:f>
        <x:v>0</x:v>
      </x:c>
      <x:c r="S26" s="8" t="n">
        <x:f>M26-O26</x:f>
        <x:v>-142586503.55</x:v>
      </x:c>
      <x:c r="T26" s="8" t="n">
        <x:f>'现金流原表'!F488</x:f>
        <x:v>0</x:v>
      </x:c>
      <x:c r="U26" s="8" t="n">
        <x:f>SUM(Q26:T26)</x:f>
        <x:v>377910.0800000131</x:v>
      </x:c>
      <x:c r="V26" s="8" t="n">
        <x:f>'现金流原表'!F489</x:f>
        <x:v>377910.08</x:v>
      </x:c>
      <x:c r="W26" s="8" t="n">
        <x:f>U26-V26</x:f>
        <x:v>1.3096723705530167e-8</x:v>
      </x:c>
      <x:c r="X26" s="8" t="n">
        <x:f>'现金流原表'!F490</x:f>
        <x:v>5984456.36</x:v>
      </x:c>
      <x:c r="Y26" s="8" t="n">
        <x:f>X26+U26</x:f>
        <x:v>6362366.440000013</x:v>
      </x:c>
      <x:c r="Z26" s="8" t="n">
        <x:f>'现金流原表'!F491</x:f>
        <x:v>6362366.44</x:v>
      </x:c>
      <x:c r="AA26" s="8" t="n">
        <x:f>Y26-Z26</x:f>
        <x:v>1.30385160446167e-8</x:v>
      </x:c>
      <x:c r="AB26" s="8" t="n">
        <x:f>MAX(ABS(E26-F26),ABS(G26-H26),ABS(I26-J26),ABS(K26-L26),ABS(M26-N26),ABS(O26-P26))</x:f>
        <x:v>2.9802322387695312e-8</x:v>
      </x:c>
      <x:c r="AC26" s="8" t="n">
        <x:f>'现金流原表'!F478</x:f>
        <x:v>142964413.63</x:v>
      </x:c>
      <x:c r="AD26" s="8" t="n">
        <x:v>0</x:v>
      </x:c>
      <x:c r="AE26" s="8" t="n">
        <x:f>'现金流原表'!F487</x:f>
        <x:v>-142586503.55</x:v>
      </x:c>
      <x:c r="AF26" s="8" t="n">
        <x:f>Q26-AC26</x:f>
        <x:v>2.9802322387695312e-8</x:v>
      </x:c>
      <x:c r="AG26" s="8" t="n">
        <x:f>R26-AD26</x:f>
        <x:v>0</x:v>
      </x:c>
      <x:c r="AH26" s="8" t="n">
        <x:f>S26-AE26</x:f>
        <x:v>0</x:v>
      </x:c>
      <x:c r="AI26" s="4" t="str">
        <x:v>华夏越秀高速REIT_2024年报_20250331.pdf，现金流量表；原表底稿按逐行物理页定位</x:v>
      </x:c>
    </x:row>
    <x:row r="27" ht="42" customHeight="1">
      <x:c r="A27" s="4" t="str">
        <x:v>华夏越秀高速REIT</x:v>
      </x:c>
      <x:c r="B27" s="4" t="str">
        <x:v>2024年度</x:v>
      </x:c>
      <x:c r="C27" s="4" t="str">
        <x:v>基金个别</x:v>
      </x:c>
      <x:c r="D27" s="4" t="str">
        <x:v>原表比较期间</x:v>
      </x:c>
      <x:c r="E27" s="8" t="n">
        <x:f>SUM('现金流原表'!G463:G469)</x:f>
        <x:v>171855528.29</x:v>
      </x:c>
      <x:c r="F27" s="8" t="n">
        <x:f>'现金流原表'!G470</x:f>
        <x:v>171855528.29</x:v>
      </x:c>
      <x:c r="G27" s="8" t="n">
        <x:f>SUM('现金流原表'!G471:G476)</x:f>
        <x:v>14907578.6</x:v>
      </x:c>
      <x:c r="H27" s="8" t="n">
        <x:f>'现金流原表'!G477</x:f>
        <x:v>14907578.6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8" t="n">
        <x:f>SUM('现金流原表'!G479:G480)</x:f>
        <x:v>0</x:v>
      </x:c>
      <x:c r="N27" s="8" t="n">
        <x:f>'现金流原表'!G481</x:f>
        <x:v>0</x:v>
      </x:c>
      <x:c r="O27" s="8" t="n">
        <x:f>SUM('现金流原表'!G482:G485)</x:f>
        <x:v>192014291.16</x:v>
      </x:c>
      <x:c r="P27" s="8" t="n">
        <x:f>'现金流原表'!G486</x:f>
        <x:v>192014291.16</x:v>
      </x:c>
      <x:c r="Q27" s="8" t="n">
        <x:f>E27-G27</x:f>
        <x:v>156947949.69</x:v>
      </x:c>
      <x:c r="R27" s="8" t="n">
        <x:f>I27-K27</x:f>
        <x:v>0</x:v>
      </x:c>
      <x:c r="S27" s="8" t="n">
        <x:f>M27-O27</x:f>
        <x:v>-192014291.16</x:v>
      </x:c>
      <x:c r="T27" s="8" t="n">
        <x:f>'现金流原表'!G488</x:f>
        <x:v>0</x:v>
      </x:c>
      <x:c r="U27" s="8" t="n">
        <x:f>SUM(Q27:T27)</x:f>
        <x:v>-35066341.47</x:v>
      </x:c>
      <x:c r="V27" s="8" t="n">
        <x:f>'现金流原表'!G489</x:f>
        <x:v>-35066341.47</x:v>
      </x:c>
      <x:c r="W27" s="8" t="n">
        <x:f>U27-V27</x:f>
        <x:v>0</x:v>
      </x:c>
      <x:c r="X27" s="8" t="n">
        <x:f>'现金流原表'!G490</x:f>
        <x:v>41050797.83</x:v>
      </x:c>
      <x:c r="Y27" s="8" t="n">
        <x:f>X27+U27</x:f>
        <x:v>5984456.359999999</x:v>
      </x:c>
      <x:c r="Z27" s="8" t="n">
        <x:f>'现金流原表'!G491</x:f>
        <x:v>5984456.36</x:v>
      </x:c>
      <x:c r="AA27" s="8" t="n">
        <x:f>Y27-Z27</x:f>
        <x:v>-9.313225746154785e-10</x:v>
      </x:c>
      <x:c r="AB27" s="8" t="n">
        <x:f>MAX(ABS(E27-F27),ABS(G27-H27),ABS(I27-J27),ABS(K27-L27),ABS(M27-N27),ABS(O27-P27))</x:f>
        <x:v>0</x:v>
      </x:c>
      <x:c r="AC27" s="8" t="n">
        <x:f>'现金流原表'!G478</x:f>
        <x:v>156947949.69</x:v>
      </x:c>
      <x:c r="AD27" s="8" t="n">
        <x:v>0</x:v>
      </x:c>
      <x:c r="AE27" s="8" t="n">
        <x:f>'现金流原表'!G487</x:f>
        <x:v>-192014291.16</x:v>
      </x:c>
      <x:c r="AF27" s="8" t="n">
        <x:f>Q27-AC27</x:f>
        <x:v>0</x:v>
      </x:c>
      <x:c r="AG27" s="8" t="n">
        <x:f>R27-AD27</x:f>
        <x:v>0</x:v>
      </x:c>
      <x:c r="AH27" s="8" t="n">
        <x:f>S27-AE27</x:f>
        <x:v>0</x:v>
      </x:c>
      <x:c r="AI27" s="4" t="str">
        <x:v>华夏越秀高速REIT_2024年报_20250331.pdf，现金流量表；原表底稿按逐行物理页定位</x:v>
      </x:c>
    </x:row>
    <x:row r="28" ht="42" customHeight="1">
      <x:c r="A28" s="4" t="str">
        <x:v>华夏越秀高速REIT</x:v>
      </x:c>
      <x:c r="B28" s="4" t="str">
        <x:v>2025上半年</x:v>
      </x:c>
      <x:c r="C28" s="4" t="str">
        <x:v>合并</x:v>
      </x:c>
      <x:c r="D28" s="4" t="str">
        <x:v>本期</x:v>
      </x:c>
      <x:c r="E28" s="8" t="n">
        <x:f>SUM('现金流原表'!F492:F498)</x:f>
        <x:v>127659666.44</x:v>
      </x:c>
      <x:c r="F28" s="8" t="n">
        <x:f>'现金流原表'!F499</x:f>
        <x:v>127659666.44</x:v>
      </x:c>
      <x:c r="G28" s="8" t="n">
        <x:f>SUM('现金流原表'!F500:F506)</x:f>
        <x:v>40229800.72</x:v>
      </x:c>
      <x:c r="H28" s="8" t="n">
        <x:f>'现金流原表'!F507</x:f>
        <x:v>40229800.72</x:v>
      </x:c>
      <x:c r="I28" s="8" t="n">
        <x:f>SUM('现金流原表'!F509:F511)</x:f>
        <x:v>90000000</x:v>
      </x:c>
      <x:c r="J28" s="8" t="n">
        <x:f>'现金流原表'!F512</x:f>
        <x:v>90000000</x:v>
      </x:c>
      <x:c r="K28" s="8" t="n">
        <x:f>SUM('现金流原表'!F513:F515)</x:f>
        <x:v>114231260.12</x:v>
      </x:c>
      <x:c r="L28" s="8" t="n">
        <x:f>'现金流原表'!F516</x:f>
        <x:v>114231260.12</x:v>
      </x:c>
      <x:c r="M28" s="8" t="n">
        <x:f>SUM('现金流原表'!F518:F520)</x:f>
        <x:v>0</x:v>
      </x:c>
      <x:c r="N28" s="8" t="n">
        <x:f>'现金流原表'!F521</x:f>
        <x:v>0</x:v>
      </x:c>
      <x:c r="O28" s="8" t="n">
        <x:f>SUM('现金流原表'!F522:F526)</x:f>
        <x:v>37718175.81</x:v>
      </x:c>
      <x:c r="P28" s="8" t="n">
        <x:f>'现金流原表'!F527</x:f>
        <x:v>37718175.81</x:v>
      </x:c>
      <x:c r="Q28" s="8" t="n">
        <x:f>E28-G28</x:f>
        <x:v>87429865.72</x:v>
      </x:c>
      <x:c r="R28" s="8" t="n">
        <x:f>I28-K28</x:f>
        <x:v>-24231260.120000005</x:v>
      </x:c>
      <x:c r="S28" s="8" t="n">
        <x:f>M28-O28</x:f>
        <x:v>-37718175.81</x:v>
      </x:c>
      <x:c r="T28" s="8" t="n">
        <x:f>'现金流原表'!F529</x:f>
        <x:v>0</x:v>
      </x:c>
      <x:c r="U28" s="8" t="n">
        <x:f>SUM(Q28:T28)</x:f>
        <x:v>25480429.78999999</x:v>
      </x:c>
      <x:c r="V28" s="8" t="n">
        <x:f>'现金流原表'!F530</x:f>
        <x:v>25480429.79</x:v>
      </x:c>
      <x:c r="W28" s="8" t="n">
        <x:f>U28-V28</x:f>
        <x:v>-7.450580596923828e-9</x:v>
      </x:c>
      <x:c r="X28" s="8" t="n">
        <x:f>'现金流原表'!F531</x:f>
        <x:v>15007998.03</x:v>
      </x:c>
      <x:c r="Y28" s="8" t="n">
        <x:f>X28+U28</x:f>
        <x:v>40488427.81999999</x:v>
      </x:c>
      <x:c r="Z28" s="8" t="n">
        <x:f>'现金流原表'!F532</x:f>
        <x:v>40488427.82</x:v>
      </x:c>
      <x:c r="AA28" s="8" t="n">
        <x:f>Y28-Z28</x:f>
        <x:v>-7.450580596923828e-9</x:v>
      </x:c>
      <x:c r="AB28" s="8" t="n">
        <x:f>MAX(ABS(E28-F28),ABS(G28-H28),ABS(I28-J28),ABS(K28-L28),ABS(M28-N28),ABS(O28-P28))</x:f>
        <x:v>0</x:v>
      </x:c>
      <x:c r="AC28" s="8" t="n">
        <x:f>'现金流原表'!F508</x:f>
        <x:v>87429865.72</x:v>
      </x:c>
      <x:c r="AD28" s="8" t="n">
        <x:f>'现金流原表'!F517</x:f>
        <x:v>-24231260.12</x:v>
      </x:c>
      <x:c r="AE28" s="8" t="n">
        <x:f>'现金流原表'!F528</x:f>
        <x:v>-37718175.81</x:v>
      </x:c>
      <x:c r="AF28" s="8" t="n">
        <x:f>Q28-AC28</x:f>
        <x:v>0</x:v>
      </x:c>
      <x:c r="AG28" s="8" t="n">
        <x:f>R28-AD28</x:f>
        <x:v>-3.725290298461914e-9</x:v>
      </x:c>
      <x:c r="AH28" s="8" t="n">
        <x:f>S28-AE28</x:f>
        <x:v>0</x:v>
      </x:c>
      <x:c r="AI28" s="4" t="str">
        <x:v>华夏越秀高速REIT_2025中报_20250830.pdf，现金流量表；原表底稿按逐行物理页定位</x:v>
      </x:c>
    </x:row>
    <x:row r="29" ht="42" customHeight="1">
      <x:c r="A29" s="4" t="str">
        <x:v>华夏越秀高速REIT</x:v>
      </x:c>
      <x:c r="B29" s="4" t="str">
        <x:v>2025上半年</x:v>
      </x:c>
      <x:c r="C29" s="4" t="str">
        <x:v>合并</x:v>
      </x:c>
      <x:c r="D29" s="4" t="str">
        <x:v>原表比较期间</x:v>
      </x:c>
      <x:c r="E29" s="8" t="n">
        <x:f>SUM('现金流原表'!G492:G498)</x:f>
        <x:v>131819946.99999999</x:v>
      </x:c>
      <x:c r="F29" s="8" t="n">
        <x:f>'现金流原表'!G499</x:f>
        <x:v>131819947</x:v>
      </x:c>
      <x:c r="G29" s="8" t="n">
        <x:f>SUM('现金流原表'!G500:G506)</x:f>
        <x:v>49913516.97</x:v>
      </x:c>
      <x:c r="H29" s="8" t="n">
        <x:f>'现金流原表'!G507</x:f>
        <x:v>49913516.97</x:v>
      </x:c>
      <x:c r="I29" s="8" t="n">
        <x:f>SUM('现金流原表'!G509:G511)</x:f>
        <x:v>75000000</x:v>
      </x:c>
      <x:c r="J29" s="8" t="n">
        <x:f>'现金流原表'!G512</x:f>
        <x:v>75000000</x:v>
      </x:c>
      <x:c r="K29" s="8" t="n">
        <x:f>SUM('现金流原表'!G513:G515)</x:f>
        <x:v>87703693.23</x:v>
      </x:c>
      <x:c r="L29" s="8" t="n">
        <x:f>'现金流原表'!G516</x:f>
        <x:v>87703693.23</x:v>
      </x:c>
      <x:c r="M29" s="8" t="n">
        <x:f>SUM('现金流原表'!G518:G520)</x:f>
        <x:v>0</x:v>
      </x:c>
      <x:c r="N29" s="8" t="n">
        <x:f>'现金流原表'!G521</x:f>
        <x:v>0</x:v>
      </x:c>
      <x:c r="O29" s="8" t="n">
        <x:f>SUM('现金流原表'!G522:G526)</x:f>
        <x:v>83594106.4</x:v>
      </x:c>
      <x:c r="P29" s="8" t="n">
        <x:f>'现金流原表'!G527</x:f>
        <x:v>83594106.4</x:v>
      </x:c>
      <x:c r="Q29" s="8" t="n">
        <x:f>E29-G29</x:f>
        <x:v>81906430.02999999</x:v>
      </x:c>
      <x:c r="R29" s="8" t="n">
        <x:f>I29-K29</x:f>
        <x:v>-12703693.230000004</x:v>
      </x:c>
      <x:c r="S29" s="8" t="n">
        <x:f>M29-O29</x:f>
        <x:v>-83594106.4</x:v>
      </x:c>
      <x:c r="T29" s="8" t="n">
        <x:f>'现金流原表'!G529</x:f>
        <x:v>0</x:v>
      </x:c>
      <x:c r="U29" s="8" t="n">
        <x:f>SUM(Q29:T29)</x:f>
        <x:v>-14391369.600000024</x:v>
      </x:c>
      <x:c r="V29" s="8" t="n">
        <x:f>'现金流原表'!G530</x:f>
        <x:v>-14391369.6</x:v>
      </x:c>
      <x:c r="W29" s="8" t="n">
        <x:f>U29-V29</x:f>
        <x:v>-2.421438694000244e-8</x:v>
      </x:c>
      <x:c r="X29" s="8" t="n">
        <x:f>'现金流原表'!G531</x:f>
        <x:v>36952691.23</x:v>
      </x:c>
      <x:c r="Y29" s="8" t="n">
        <x:f>X29+U29</x:f>
        <x:v>22561321.629999973</x:v>
      </x:c>
      <x:c r="Z29" s="8" t="n">
        <x:f>'现金流原表'!G532</x:f>
        <x:v>22561321.63</x:v>
      </x:c>
      <x:c r="AA29" s="8" t="n">
        <x:f>Y29-Z29</x:f>
        <x:v>-2.60770320892334e-8</x:v>
      </x:c>
      <x:c r="AB29" s="8" t="n">
        <x:f>MAX(ABS(E29-F29),ABS(G29-H29),ABS(I29-J29),ABS(K29-L29),ABS(M29-N29),ABS(O29-P29))</x:f>
        <x:v>1.4901161193847656e-8</x:v>
      </x:c>
      <x:c r="AC29" s="8" t="n">
        <x:f>'现金流原表'!G508</x:f>
        <x:v>81906430.03</x:v>
      </x:c>
      <x:c r="AD29" s="8" t="n">
        <x:f>'现金流原表'!G517</x:f>
        <x:v>-12703693.23</x:v>
      </x:c>
      <x:c r="AE29" s="8" t="n">
        <x:f>'现金流原表'!G528</x:f>
        <x:v>-83594106.4</x:v>
      </x:c>
      <x:c r="AF29" s="8" t="n">
        <x:f>Q29-AC29</x:f>
        <x:v>-1.4901161193847656e-8</x:v>
      </x:c>
      <x:c r="AG29" s="8" t="n">
        <x:f>R29-AD29</x:f>
        <x:v>-3.725290298461914e-9</x:v>
      </x:c>
      <x:c r="AH29" s="8" t="n">
        <x:f>S29-AE29</x:f>
        <x:v>0</x:v>
      </x:c>
      <x:c r="AI29" s="4" t="str">
        <x:v>华夏越秀高速REIT_2025中报_20250830.pdf，现金流量表；原表底稿按逐行物理页定位</x:v>
      </x:c>
    </x:row>
    <x:row r="30" ht="42" customHeight="1">
      <x:c r="A30" s="4" t="str">
        <x:v>华夏越秀高速REIT</x:v>
      </x:c>
      <x:c r="B30" s="4" t="str">
        <x:v>2025上半年</x:v>
      </x:c>
      <x:c r="C30" s="4" t="str">
        <x:v>基金个别</x:v>
      </x:c>
      <x:c r="D30" s="4" t="str">
        <x:v>本期</x:v>
      </x:c>
      <x:c r="E30" s="8" t="n">
        <x:f>SUM('现金流原表'!F533:F539)</x:f>
        <x:v>27990903.96</x:v>
      </x:c>
      <x:c r="F30" s="8" t="n">
        <x:f>'现金流原表'!F540</x:f>
        <x:v>27990903.96</x:v>
      </x:c>
      <x:c r="G30" s="8" t="n">
        <x:f>SUM('现金流原表'!F541:F546)</x:f>
        <x:v>8900422.19</x:v>
      </x:c>
      <x:c r="H30" s="8" t="n">
        <x:f>'现金流原表'!F547</x:f>
        <x:v>8900422.19</x:v>
      </x:c>
      <x:c r="I30" s="8" t="n">
        <x:v>0</x:v>
      </x:c>
      <x:c r="J30" s="8" t="n">
        <x:v>0</x:v>
      </x:c>
      <x:c r="K30" s="8" t="n">
        <x:v>0</x:v>
      </x:c>
      <x:c r="L30" s="8" t="n">
        <x:v>0</x:v>
      </x:c>
      <x:c r="M30" s="8" t="n">
        <x:f>SUM('现金流原表'!F549:F550)</x:f>
        <x:v>0</x:v>
      </x:c>
      <x:c r="N30" s="8" t="n">
        <x:f>'现金流原表'!F551</x:f>
        <x:v>0</x:v>
      </x:c>
      <x:c r="O30" s="8" t="n">
        <x:f>SUM('现金流原表'!F552:F555)</x:f>
        <x:v>24605900.74</x:v>
      </x:c>
      <x:c r="P30" s="8" t="n">
        <x:f>'现金流原表'!F556</x:f>
        <x:v>24605900.74</x:v>
      </x:c>
      <x:c r="Q30" s="8" t="n">
        <x:f>E30-G30</x:f>
        <x:v>19090481.770000003</x:v>
      </x:c>
      <x:c r="R30" s="8" t="n">
        <x:f>I30-K30</x:f>
        <x:v>0</x:v>
      </x:c>
      <x:c r="S30" s="8" t="n">
        <x:f>M30-O30</x:f>
        <x:v>-24605900.74</x:v>
      </x:c>
      <x:c r="T30" s="8" t="n">
        <x:f>'现金流原表'!F558</x:f>
        <x:v>0</x:v>
      </x:c>
      <x:c r="U30" s="8" t="n">
        <x:f>SUM(Q30:T30)</x:f>
        <x:v>-5515418.969999995</x:v>
      </x:c>
      <x:c r="V30" s="8" t="n">
        <x:f>'现金流原表'!F559</x:f>
        <x:v>-5515418.97</x:v>
      </x:c>
      <x:c r="W30" s="8" t="n">
        <x:f>U30-V30</x:f>
        <x:v>4.6566128730773926e-9</x:v>
      </x:c>
      <x:c r="X30" s="8" t="n">
        <x:f>'现金流原表'!F560</x:f>
        <x:v>6362366.44</x:v>
      </x:c>
      <x:c r="Y30" s="8" t="n">
        <x:f>X30+U30</x:f>
        <x:v>846947.4700000053</x:v>
      </x:c>
      <x:c r="Z30" s="8" t="n">
        <x:f>'现金流原表'!F561</x:f>
        <x:v>846947.47</x:v>
      </x:c>
      <x:c r="AA30" s="8" t="n">
        <x:f>Y30-Z30</x:f>
        <x:v>5.3551048040390015e-9</x:v>
      </x:c>
      <x:c r="AB30" s="8" t="n">
        <x:f>MAX(ABS(E30-F30),ABS(G30-H30),ABS(I30-J30),ABS(K30-L30),ABS(M30-N30),ABS(O30-P30))</x:f>
        <x:v>0</x:v>
      </x:c>
      <x:c r="AC30" s="8" t="n">
        <x:f>'现金流原表'!F548</x:f>
        <x:v>19090481.77</x:v>
      </x:c>
      <x:c r="AD30" s="8" t="n">
        <x:v>0</x:v>
      </x:c>
      <x:c r="AE30" s="8" t="n">
        <x:f>'现金流原表'!F557</x:f>
        <x:v>-24605900.74</x:v>
      </x:c>
      <x:c r="AF30" s="8" t="n">
        <x:f>Q30-AC30</x:f>
        <x:v>3.725290298461914e-9</x:v>
      </x:c>
      <x:c r="AG30" s="8" t="n">
        <x:f>R30-AD30</x:f>
        <x:v>0</x:v>
      </x:c>
      <x:c r="AH30" s="8" t="n">
        <x:f>S30-AE30</x:f>
        <x:v>0</x:v>
      </x:c>
      <x:c r="AI30" s="4" t="str">
        <x:v>华夏越秀高速REIT_2025中报_20250830.pdf，现金流量表；原表底稿按逐行物理页定位</x:v>
      </x:c>
    </x:row>
    <x:row r="31" ht="42" customHeight="1">
      <x:c r="A31" s="4" t="str">
        <x:v>华夏越秀高速REIT</x:v>
      </x:c>
      <x:c r="B31" s="4" t="str">
        <x:v>2025上半年</x:v>
      </x:c>
      <x:c r="C31" s="4" t="str">
        <x:v>基金个别</x:v>
      </x:c>
      <x:c r="D31" s="4" t="str">
        <x:v>原表比较期间</x:v>
      </x:c>
      <x:c r="E31" s="8" t="n">
        <x:f>SUM('现金流原表'!G533:G539)</x:f>
        <x:v>81438172.91</x:v>
      </x:c>
      <x:c r="F31" s="8" t="n">
        <x:f>'现金流原表'!G540</x:f>
        <x:v>81438172.91</x:v>
      </x:c>
      <x:c r="G31" s="8" t="n">
        <x:f>SUM('现金流原表'!G541:G546)</x:f>
        <x:v>10197444.79</x:v>
      </x:c>
      <x:c r="H31" s="8" t="n">
        <x:f>'现金流原表'!G547</x:f>
        <x:v>10197444.79</x:v>
      </x:c>
      <x:c r="I31" s="8" t="n">
        <x:v>0</x:v>
      </x:c>
      <x:c r="J31" s="8" t="n">
        <x:v>0</x:v>
      </x:c>
      <x:c r="K31" s="8" t="n">
        <x:v>0</x:v>
      </x:c>
      <x:c r="L31" s="8" t="n">
        <x:v>0</x:v>
      </x:c>
      <x:c r="M31" s="8" t="n">
        <x:f>SUM('现金流原表'!G549:G550)</x:f>
        <x:v>0</x:v>
      </x:c>
      <x:c r="N31" s="8" t="n">
        <x:f>'现金流原表'!G551</x:f>
        <x:v>0</x:v>
      </x:c>
      <x:c r="O31" s="8" t="n">
        <x:f>SUM('现金流原表'!G552:G555)</x:f>
        <x:v>73220629.65</x:v>
      </x:c>
      <x:c r="P31" s="8" t="n">
        <x:f>'现金流原表'!G556</x:f>
        <x:v>73220629.65</x:v>
      </x:c>
      <x:c r="Q31" s="8" t="n">
        <x:f>E31-G31</x:f>
        <x:v>71240728.12</x:v>
      </x:c>
      <x:c r="R31" s="8" t="n">
        <x:f>I31-K31</x:f>
        <x:v>0</x:v>
      </x:c>
      <x:c r="S31" s="8" t="n">
        <x:f>M31-O31</x:f>
        <x:v>-73220629.65</x:v>
      </x:c>
      <x:c r="T31" s="8" t="n">
        <x:f>'现金流原表'!G558</x:f>
        <x:v>0</x:v>
      </x:c>
      <x:c r="U31" s="8" t="n">
        <x:f>SUM(Q31:T31)</x:f>
        <x:v>-1979901.5300000012</x:v>
      </x:c>
      <x:c r="V31" s="8" t="n">
        <x:f>'现金流原表'!G559</x:f>
        <x:v>-1979901.53</x:v>
      </x:c>
      <x:c r="W31" s="8" t="n">
        <x:f>U31-V31</x:f>
        <x:v>-1.1641532182693481e-9</x:v>
      </x:c>
      <x:c r="X31" s="8" t="n">
        <x:f>'现金流原表'!G560</x:f>
        <x:v>5984456.36</x:v>
      </x:c>
      <x:c r="Y31" s="8" t="n">
        <x:f>X31+U31</x:f>
        <x:v>4004554.829999999</x:v>
      </x:c>
      <x:c r="Z31" s="8" t="n">
        <x:f>'现金流原表'!G561</x:f>
        <x:v>4004554.83</x:v>
      </x:c>
      <x:c r="AA31" s="8" t="n">
        <x:f>Y31-Z31</x:f>
        <x:v>-9.313225746154785e-10</x:v>
      </x:c>
      <x:c r="AB31" s="8" t="n">
        <x:f>MAX(ABS(E31-F31),ABS(G31-H31),ABS(I31-J31),ABS(K31-L31),ABS(M31-N31),ABS(O31-P31))</x:f>
        <x:v>0</x:v>
      </x:c>
      <x:c r="AC31" s="8" t="n">
        <x:f>'现金流原表'!G548</x:f>
        <x:v>71240728.12</x:v>
      </x:c>
      <x:c r="AD31" s="8" t="n">
        <x:v>0</x:v>
      </x:c>
      <x:c r="AE31" s="8" t="n">
        <x:f>'现金流原表'!G557</x:f>
        <x:v>-73220629.65</x:v>
      </x:c>
      <x:c r="AF31" s="8" t="n">
        <x:f>Q31-AC31</x:f>
        <x:v>0</x:v>
      </x:c>
      <x:c r="AG31" s="8" t="n">
        <x:f>R31-AD31</x:f>
        <x:v>0</x:v>
      </x:c>
      <x:c r="AH31" s="8" t="n">
        <x:f>S31-AE31</x:f>
        <x:v>0</x:v>
      </x:c>
      <x:c r="AI31" s="4" t="str">
        <x:v>华夏越秀高速REIT_2025中报_20250830.pdf，现金流量表；原表底稿按逐行物理页定位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35" hidden="0" customWidth="1"/>
    <x:col min="4" max="4" width="35" hidden="0" customWidth="1"/>
    <x:col min="5" max="5" width="35" hidden="0" customWidth="1"/>
    <x:col min="6" max="6" width="100" hidden="0" customWidth="1"/>
    <x:col min="7" max="7" width="95" hidden="0" customWidth="1"/>
  </x:cols>
  <x:sheetData>
    <x:row r="1" ht="36" customHeight="1">
      <x:c r="A1" s="6" t="str">
        <x:v>产品</x:v>
      </x:c>
      <x:c r="B1" s="6" t="str">
        <x:v>主体</x:v>
      </x:c>
      <x:c r="C1" s="6" t="str">
        <x:v>2024期末现金（元）</x:v>
      </x:c>
      <x:c r="D1" s="6" t="str">
        <x:v>2025期初现金（元）</x:v>
      </x:c>
      <x:c r="E1" s="6" t="str">
        <x:v>衔接残差（元）</x:v>
      </x:c>
      <x:c r="F1" s="6" t="str">
        <x:v>适用口径</x:v>
      </x:c>
      <x:c r="G1" s="6" t="str">
        <x:v>出处</x:v>
      </x:c>
    </x:row>
    <x:row r="2" ht="32" customHeight="1">
      <x:c r="A2" s="4" t="str">
        <x:v>华夏北京保障房REIT</x:v>
      </x:c>
      <x:c r="B2" s="4" t="str">
        <x:v>合并</x:v>
      </x:c>
      <x:c r="C2" s="8" t="n">
        <x:f>'现金流原表'!F42</x:f>
        <x:v>7287276.85</x:v>
      </x:c>
      <x:c r="D2" s="8" t="n">
        <x:f>'现金流原表'!F111</x:f>
        <x:v>7287276.85</x:v>
      </x:c>
      <x:c r="E2" s="8" t="n">
        <x:f>D2-C2</x:f>
        <x:v>0</x:v>
      </x:c>
      <x:c r="F2" s="4" t="str">
        <x:v>对应主体现金期末与下一期期初；不跨主体轧差</x:v>
      </x:c>
      <x:c r="G2" s="4" t="str">
        <x:v>两报告现金流量表，现金流原表逐行物理页</x:v>
      </x:c>
    </x:row>
    <x:row r="3" ht="32" customHeight="1">
      <x:c r="A3" s="4" t="str">
        <x:v>华夏北京保障房REIT</x:v>
      </x:c>
      <x:c r="B3" s="4" t="str">
        <x:v>基金个别</x:v>
      </x:c>
      <x:c r="C3" s="8" t="n">
        <x:f>'现金流原表'!F71</x:f>
        <x:v>1930963.15</x:v>
      </x:c>
      <x:c r="D3" s="8" t="n">
        <x:f>'现金流原表'!F140</x:f>
        <x:v>1930963.15</x:v>
      </x:c>
      <x:c r="E3" s="8" t="n">
        <x:f>D3-C3</x:f>
        <x:v>0</x:v>
      </x:c>
      <x:c r="F3" s="4" t="str">
        <x:v>对应主体现金期末与下一期期初；不跨主体轧差</x:v>
      </x:c>
      <x:c r="G3" s="4" t="str">
        <x:v>两报告现金流量表，现金流原表逐行物理页</x:v>
      </x:c>
    </x:row>
    <x:row r="4" ht="32" customHeight="1">
      <x:c r="A4" s="4" t="str">
        <x:v>华夏华润商业REIT</x:v>
      </x:c>
      <x:c r="B4" s="4" t="str">
        <x:v>合并</x:v>
      </x:c>
      <x:c r="C4" s="8" t="n">
        <x:f>'现金流原表'!F182</x:f>
        <x:v>439341485.57</x:v>
      </x:c>
      <x:c r="D4" s="8" t="n">
        <x:f>'现金流原表'!F251</x:f>
        <x:v>439341485.57</x:v>
      </x:c>
      <x:c r="E4" s="8" t="n">
        <x:f>D4-C4</x:f>
        <x:v>0</x:v>
      </x:c>
      <x:c r="F4" s="4" t="str">
        <x:v>对应主体现金期末与下一期期初；不跨主体轧差</x:v>
      </x:c>
      <x:c r="G4" s="4" t="str">
        <x:v>两报告现金流量表，现金流原表逐行物理页</x:v>
      </x:c>
    </x:row>
    <x:row r="5" ht="32" customHeight="1">
      <x:c r="A5" s="4" t="str">
        <x:v>华夏华润商业REIT</x:v>
      </x:c>
      <x:c r="B5" s="4" t="str">
        <x:v>基金个别</x:v>
      </x:c>
      <x:c r="C5" s="8" t="n">
        <x:f>'现金流原表'!F211</x:f>
        <x:v>8568710.41</x:v>
      </x:c>
      <x:c r="D5" s="8" t="n">
        <x:f>'现金流原表'!F280</x:f>
        <x:v>8568710.41</x:v>
      </x:c>
      <x:c r="E5" s="8" t="n">
        <x:f>D5-C5</x:f>
        <x:v>0</x:v>
      </x:c>
      <x:c r="F5" s="4" t="str">
        <x:v>对应主体现金期末与下一期期初；不跨主体轧差</x:v>
      </x:c>
      <x:c r="G5" s="4" t="str">
        <x:v>两报告现金流量表，现金流原表逐行物理页</x:v>
      </x:c>
    </x:row>
    <x:row r="6" ht="32" customHeight="1">
      <x:c r="A6" s="4" t="str">
        <x:v>华夏合肥高新REIT</x:v>
      </x:c>
      <x:c r="B6" s="4" t="str">
        <x:v>合并</x:v>
      </x:c>
      <x:c r="C6" s="8" t="n">
        <x:f>'现金流原表'!F322</x:f>
        <x:v>41979036.31</x:v>
      </x:c>
      <x:c r="D6" s="8" t="n">
        <x:f>'现金流原表'!F391</x:f>
        <x:v>41979036.31</x:v>
      </x:c>
      <x:c r="E6" s="8" t="n">
        <x:f>D6-C6</x:f>
        <x:v>0</x:v>
      </x:c>
      <x:c r="F6" s="4" t="str">
        <x:v>对应主体现金期末与下一期期初；不跨主体轧差</x:v>
      </x:c>
      <x:c r="G6" s="4" t="str">
        <x:v>两报告现金流量表，现金流原表逐行物理页</x:v>
      </x:c>
    </x:row>
    <x:row r="7" ht="32" customHeight="1">
      <x:c r="A7" s="4" t="str">
        <x:v>华夏合肥高新REIT</x:v>
      </x:c>
      <x:c r="B7" s="4" t="str">
        <x:v>基金个别</x:v>
      </x:c>
      <x:c r="C7" s="8" t="n">
        <x:f>'现金流原表'!F351</x:f>
        <x:v>3957397.59</x:v>
      </x:c>
      <x:c r="D7" s="8" t="n">
        <x:f>'现金流原表'!F420</x:f>
        <x:v>3957397.59</x:v>
      </x:c>
      <x:c r="E7" s="8" t="n">
        <x:f>D7-C7</x:f>
        <x:v>0</x:v>
      </x:c>
      <x:c r="F7" s="4" t="str">
        <x:v>对应主体现金期末与下一期期初；不跨主体轧差</x:v>
      </x:c>
      <x:c r="G7" s="4" t="str">
        <x:v>两报告现金流量表，现金流原表逐行物理页</x:v>
      </x:c>
    </x:row>
    <x:row r="8" ht="32" customHeight="1">
      <x:c r="A8" s="4" t="str">
        <x:v>华夏越秀高速REIT</x:v>
      </x:c>
      <x:c r="B8" s="4" t="str">
        <x:v>合并</x:v>
      </x:c>
      <x:c r="C8" s="8" t="n">
        <x:f>'现金流原表'!F462</x:f>
        <x:v>15007998.03</x:v>
      </x:c>
      <x:c r="D8" s="8" t="n">
        <x:f>'现金流原表'!F531</x:f>
        <x:v>15007998.03</x:v>
      </x:c>
      <x:c r="E8" s="8" t="n">
        <x:f>D8-C8</x:f>
        <x:v>0</x:v>
      </x:c>
      <x:c r="F8" s="4" t="str">
        <x:v>对应主体现金期末与下一期期初；不跨主体轧差</x:v>
      </x:c>
      <x:c r="G8" s="4" t="str">
        <x:v>两报告现金流量表，现金流原表逐行物理页</x:v>
      </x:c>
    </x:row>
    <x:row r="9" ht="32" customHeight="1">
      <x:c r="A9" s="4" t="str">
        <x:v>华夏越秀高速REIT</x:v>
      </x:c>
      <x:c r="B9" s="4" t="str">
        <x:v>基金个别</x:v>
      </x:c>
      <x:c r="C9" s="8" t="n">
        <x:f>'现金流原表'!F491</x:f>
        <x:v>6362366.44</x:v>
      </x:c>
      <x:c r="D9" s="8" t="n">
        <x:f>'现金流原表'!F560</x:f>
        <x:v>6362366.44</x:v>
      </x:c>
      <x:c r="E9" s="8" t="n">
        <x:f>D9-C9</x:f>
        <x:v>0</x:v>
      </x:c>
      <x:c r="F9" s="4" t="str">
        <x:v>对应主体现金期末与下一期期初；不跨主体轧差</x:v>
      </x:c>
      <x:c r="G9" s="4" t="str">
        <x:v>两报告现金流量表，现金流原表逐行物理页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3" hidden="0" customWidth="1"/>
    <x:col min="4" max="4" width="90" hidden="0" customWidth="1"/>
    <x:col min="5" max="5" width="32" hidden="0" customWidth="1"/>
    <x:col min="6" max="6" width="32" hidden="0" customWidth="1"/>
    <x:col min="7" max="7" width="90" hidden="0" customWidth="1"/>
  </x:cols>
  <x:sheetData>
    <x:row r="1" ht="36" customHeight="1">
      <x:c r="A1" s="6" t="str">
        <x:v>产品</x:v>
      </x:c>
      <x:c r="B1" s="6" t="str">
        <x:v>报告期</x:v>
      </x:c>
      <x:c r="C1" s="6" t="str">
        <x:v>原归属</x:v>
      </x:c>
      <x:c r="D1" s="6" t="str">
        <x:v>项目</x:v>
      </x:c>
      <x:c r="E1" s="6" t="str">
        <x:v>金额（元）</x:v>
      </x:c>
      <x:c r="F1" s="6" t="str">
        <x:v>原显示</x:v>
      </x:c>
      <x:c r="G1" s="6" t="str">
        <x:v>出处</x:v>
      </x:c>
    </x:row>
    <x:row r="2" ht="42" customHeight="1">
      <x:c r="A2" s="4" t="str">
        <x:v>华夏北京保障房REIT</x:v>
      </x:c>
      <x:c r="B2" s="4" t="str">
        <x:v>2024年度</x:v>
      </x:c>
      <x:c r="C2" s="4" t="str">
        <x:v>利润基础</x:v>
      </x:c>
      <x:c r="D2" s="4" t="str">
        <x:v>合并净利润</x:v>
      </x:c>
      <x:c r="E2" s="8" t="n">
        <x:v>33527211.17</x:v>
      </x:c>
      <x:c r="F2" s="4" t="str">
        <x:v>33,527,211.17</x:v>
      </x:c>
      <x:c r="G2" s="4" t="str">
        <x:v>华夏北京保障房REIT_2024年报_20250331.pdf，PDF第9页，3.3.2.1及附注</x:v>
      </x:c>
    </x:row>
    <x:row r="3" ht="42" customHeight="1">
      <x:c r="A3" s="4" t="str">
        <x:v>华夏北京保障房REIT</x:v>
      </x:c>
      <x:c r="B3" s="4" t="str">
        <x:v>2024年度</x:v>
      </x:c>
      <x:c r="C3" s="4" t="str">
        <x:v>利润基础</x:v>
      </x:c>
      <x:c r="D3" s="4" t="str">
        <x:v>折旧和摊销</x:v>
      </x:c>
      <x:c r="E3" s="8" t="n">
        <x:v>23495423.16</x:v>
      </x:c>
      <x:c r="F3" s="4" t="str">
        <x:v>23,495,423.16</x:v>
      </x:c>
      <x:c r="G3" s="4" t="str">
        <x:v>华夏北京保障房REIT_2024年报_20250331.pdf，PDF第9页，3.3.2.1及附注</x:v>
      </x:c>
    </x:row>
    <x:row r="4" ht="42" customHeight="1">
      <x:c r="A4" s="4" t="str">
        <x:v>华夏北京保障房REIT</x:v>
      </x:c>
      <x:c r="B4" s="4" t="str">
        <x:v>2024年度</x:v>
      </x:c>
      <x:c r="C4" s="4" t="str">
        <x:v>利润基础</x:v>
      </x:c>
      <x:c r="D4" s="4" t="str">
        <x:v>利息支出</x:v>
      </x:c>
      <x:c r="E4" s="8" t="n">
        <x:v>0</x:v>
      </x:c>
      <x:c r="F4" s="4" t="str">
        <x:v>-</x:v>
      </x:c>
      <x:c r="G4" s="4" t="str">
        <x:v>华夏北京保障房REIT_2024年报_20250331.pdf，PDF第9页，3.3.2.1及附注</x:v>
      </x:c>
    </x:row>
    <x:row r="5" ht="42" customHeight="1">
      <x:c r="A5" s="4" t="str">
        <x:v>华夏北京保障房REIT</x:v>
      </x:c>
      <x:c r="B5" s="4" t="str">
        <x:v>2024年度</x:v>
      </x:c>
      <x:c r="C5" s="4" t="str">
        <x:v>利润基础</x:v>
      </x:c>
      <x:c r="D5" s="4" t="str">
        <x:v>所得税费用</x:v>
      </x:c>
      <x:c r="E5" s="8" t="n">
        <x:v>-2146253.12</x:v>
      </x:c>
      <x:c r="F5" s="4" t="str">
        <x:v>-2,146,253.12</x:v>
      </x:c>
      <x:c r="G5" s="4" t="str">
        <x:v>华夏北京保障房REIT_2024年报_20250331.pdf，PDF第9页，3.3.2.1及附注</x:v>
      </x:c>
    </x:row>
    <x:row r="6" ht="42" customHeight="1">
      <x:c r="A6" s="4" t="str">
        <x:v>华夏北京保障房REIT</x:v>
      </x:c>
      <x:c r="B6" s="4" t="str">
        <x:v>2024年度</x:v>
      </x:c>
      <x:c r="C6" s="4" t="str">
        <x:v>中间披露</x:v>
      </x:c>
      <x:c r="D6" s="4" t="str">
        <x:v>税息折旧摊销前利润</x:v>
      </x:c>
      <x:c r="E6" s="8" t="n">
        <x:v>54876381.21</x:v>
      </x:c>
      <x:c r="F6" s="4" t="str">
        <x:v>54,876,381.21</x:v>
      </x:c>
      <x:c r="G6" s="4" t="str">
        <x:v>华夏北京保障房REIT_2024年报_20250331.pdf，PDF第9页，3.3.2.1及附注</x:v>
      </x:c>
    </x:row>
    <x:row r="7" ht="42" customHeight="1">
      <x:c r="A7" s="4" t="str">
        <x:v>华夏北京保障房REIT</x:v>
      </x:c>
      <x:c r="B7" s="4" t="str">
        <x:v>2024年度</x:v>
      </x:c>
      <x:c r="C7" s="4" t="str">
        <x:v>调增</x:v>
      </x:c>
      <x:c r="D7" s="4" t="str">
        <x:v>其他可能的调整项</x:v>
      </x:c>
      <x:c r="E7" s="8" t="n">
        <x:v>536563.28</x:v>
      </x:c>
      <x:c r="F7" s="4" t="str">
        <x:v>536,563.28</x:v>
      </x:c>
      <x:c r="G7" s="4" t="str">
        <x:v>华夏北京保障房REIT_2024年报_20250331.pdf，PDF第9页，3.3.2.1及附注</x:v>
      </x:c>
    </x:row>
    <x:row r="8" ht="42" customHeight="1">
      <x:c r="A8" s="4" t="str">
        <x:v>华夏北京保障房REIT</x:v>
      </x:c>
      <x:c r="B8" s="4" t="str">
        <x:v>2024年度</x:v>
      </x:c>
      <x:c r="C8" s="4" t="str">
        <x:v>调增</x:v>
      </x:c>
      <x:c r="D8" s="4" t="str">
        <x:v>未来合理相关支出预留</x:v>
      </x:c>
      <x:c r="E8" s="8" t="n">
        <x:v>1095631.34</x:v>
      </x:c>
      <x:c r="F8" s="4" t="str">
        <x:v>1,095,631.34</x:v>
      </x:c>
      <x:c r="G8" s="4" t="str">
        <x:v>华夏北京保障房REIT_2024年报_20250331.pdf，PDF第9页，3.3.2.1及附注</x:v>
      </x:c>
    </x:row>
    <x:row r="9" ht="42" customHeight="1">
      <x:c r="A9" s="4" t="str">
        <x:v>华夏北京保障房REIT</x:v>
      </x:c>
      <x:c r="B9" s="4" t="str">
        <x:v>2024年度</x:v>
      </x:c>
      <x:c r="C9" s="4" t="str">
        <x:v>调减</x:v>
      </x:c>
      <x:c r="D9" s="4" t="str">
        <x:v>支付的利息及所得税费用</x:v>
      </x:c>
      <x:c r="E9" s="8" t="n">
        <x:v>0</x:v>
      </x:c>
      <x:c r="F9" s="4" t="str">
        <x:v>-</x:v>
      </x:c>
      <x:c r="G9" s="4" t="str">
        <x:v>华夏北京保障房REIT_2024年报_20250331.pdf，PDF第10页，3.3.2.1及附注</x:v>
      </x:c>
    </x:row>
    <x:row r="10" ht="42" customHeight="1">
      <x:c r="A10" s="4" t="str">
        <x:v>华夏北京保障房REIT</x:v>
      </x:c>
      <x:c r="B10" s="4" t="str">
        <x:v>2024年度</x:v>
      </x:c>
      <x:c r="C10" s="4" t="str">
        <x:v>调减</x:v>
      </x:c>
      <x:c r="D10" s="4" t="str">
        <x:v>偿还借款支付的本金</x:v>
      </x:c>
      <x:c r="E10" s="8" t="n">
        <x:v>0</x:v>
      </x:c>
      <x:c r="F10" s="4" t="str">
        <x:v>-</x:v>
      </x:c>
      <x:c r="G10" s="4" t="str">
        <x:v>华夏北京保障房REIT_2024年报_20250331.pdf，PDF第10页，3.3.2.1及附注</x:v>
      </x:c>
    </x:row>
    <x:row r="11" ht="42" customHeight="1">
      <x:c r="A11" s="4" t="str">
        <x:v>华夏北京保障房REIT</x:v>
      </x:c>
      <x:c r="B11" s="4" t="str">
        <x:v>2024年度</x:v>
      </x:c>
      <x:c r="C11" s="4" t="str">
        <x:v>调减</x:v>
      </x:c>
      <x:c r="D11" s="4" t="str">
        <x:v>应收和应付项目的变动</x:v>
      </x:c>
      <x:c r="E11" s="8" t="n">
        <x:v>-2256416.69</x:v>
      </x:c>
      <x:c r="F11" s="4" t="str">
        <x:v>-2,256,416.69</x:v>
      </x:c>
      <x:c r="G11" s="4" t="str">
        <x:v>华夏北京保障房REIT_2024年报_20250331.pdf，PDF第10页，3.3.2.1及附注</x:v>
      </x:c>
    </x:row>
    <x:row r="12" ht="42" customHeight="1">
      <x:c r="A12" s="4" t="str">
        <x:v>华夏北京保障房REIT</x:v>
      </x:c>
      <x:c r="B12" s="4" t="str">
        <x:v>2024年度</x:v>
      </x:c>
      <x:c r="C12" s="4" t="str">
        <x:v>调减</x:v>
      </x:c>
      <x:c r="D12" s="4" t="str">
        <x:v>当期购买基础设施项目等资本性支出</x:v>
      </x:c>
      <x:c r="E12" s="8" t="n">
        <x:v>-403554.86</x:v>
      </x:c>
      <x:c r="F12" s="4" t="str">
        <x:v>-403,554.86</x:v>
      </x:c>
      <x:c r="G12" s="4" t="str">
        <x:v>华夏北京保障房REIT_2024年报_20250331.pdf，PDF第10页，3.3.2.1及附注</x:v>
      </x:c>
    </x:row>
    <x:row r="13" ht="42" customHeight="1">
      <x:c r="A13" s="4" t="str">
        <x:v>华夏北京保障房REIT</x:v>
      </x:c>
      <x:c r="B13" s="4" t="str">
        <x:v>2024年度</x:v>
      </x:c>
      <x:c r="C13" s="4" t="str">
        <x:v>最终披露</x:v>
      </x:c>
      <x:c r="D13" s="4" t="str">
        <x:v>可供分配金额</x:v>
      </x:c>
      <x:c r="E13" s="8" t="n">
        <x:v>53848604.28</x:v>
      </x:c>
      <x:c r="F13" s="4" t="str">
        <x:v>53,848,604.28</x:v>
      </x:c>
      <x:c r="G13" s="4" t="str">
        <x:v>华夏北京保障房REIT_2024年报_20250331.pdf，PDF第10页，3.3.2.1及附注</x:v>
      </x:c>
    </x:row>
    <x:row r="14" ht="42" customHeight="1">
      <x:c r="A14" s="4" t="str">
        <x:v>华夏北京保障房REIT</x:v>
      </x:c>
      <x:c r="B14" s="4" t="str">
        <x:v>2025上半年</x:v>
      </x:c>
      <x:c r="C14" s="4" t="str">
        <x:v>利润基础</x:v>
      </x:c>
      <x:c r="D14" s="4" t="str">
        <x:v>合并净利润</x:v>
      </x:c>
      <x:c r="E14" s="8" t="n">
        <x:v>18179043.31</x:v>
      </x:c>
      <x:c r="F14" s="4" t="str">
        <x:v>18,179,043.31</x:v>
      </x:c>
      <x:c r="G14" s="4" t="str">
        <x:v>华夏北京保障房REIT_2025中报_20250830.pdf，PDF第11页，3.3.2.1及附注</x:v>
      </x:c>
    </x:row>
    <x:row r="15" ht="42" customHeight="1">
      <x:c r="A15" s="4" t="str">
        <x:v>华夏北京保障房REIT</x:v>
      </x:c>
      <x:c r="B15" s="4" t="str">
        <x:v>2025上半年</x:v>
      </x:c>
      <x:c r="C15" s="4" t="str">
        <x:v>利润基础</x:v>
      </x:c>
      <x:c r="D15" s="4" t="str">
        <x:v>折旧和摊销</x:v>
      </x:c>
      <x:c r="E15" s="8" t="n">
        <x:v>12687108.83</x:v>
      </x:c>
      <x:c r="F15" s="4" t="str">
        <x:v>12,687,108.83</x:v>
      </x:c>
      <x:c r="G15" s="4" t="str">
        <x:v>华夏北京保障房REIT_2025中报_20250830.pdf，PDF第11页，3.3.2.1及附注</x:v>
      </x:c>
    </x:row>
    <x:row r="16" ht="42" customHeight="1">
      <x:c r="A16" s="4" t="str">
        <x:v>华夏北京保障房REIT</x:v>
      </x:c>
      <x:c r="B16" s="4" t="str">
        <x:v>2025上半年</x:v>
      </x:c>
      <x:c r="C16" s="4" t="str">
        <x:v>利润基础</x:v>
      </x:c>
      <x:c r="D16" s="4" t="str">
        <x:v>利息支出</x:v>
      </x:c>
      <x:c r="E16" s="8" t="n">
        <x:v>0</x:v>
      </x:c>
      <x:c r="F16" s="4" t="str">
        <x:v>-</x:v>
      </x:c>
      <x:c r="G16" s="4" t="str">
        <x:v>华夏北京保障房REIT_2025中报_20250830.pdf，PDF第11页，3.3.2.1及附注</x:v>
      </x:c>
    </x:row>
    <x:row r="17" ht="42" customHeight="1">
      <x:c r="A17" s="4" t="str">
        <x:v>华夏北京保障房REIT</x:v>
      </x:c>
      <x:c r="B17" s="4" t="str">
        <x:v>2025上半年</x:v>
      </x:c>
      <x:c r="C17" s="4" t="str">
        <x:v>利润基础</x:v>
      </x:c>
      <x:c r="D17" s="4" t="str">
        <x:v>所得税费用</x:v>
      </x:c>
      <x:c r="E17" s="8" t="n">
        <x:v>-753203.09</x:v>
      </x:c>
      <x:c r="F17" s="4" t="str">
        <x:v>-753,203.09</x:v>
      </x:c>
      <x:c r="G17" s="4" t="str">
        <x:v>华夏北京保障房REIT_2025中报_20250830.pdf，PDF第11页，3.3.2.1及附注</x:v>
      </x:c>
    </x:row>
    <x:row r="18" ht="42" customHeight="1">
      <x:c r="A18" s="4" t="str">
        <x:v>华夏北京保障房REIT</x:v>
      </x:c>
      <x:c r="B18" s="4" t="str">
        <x:v>2025上半年</x:v>
      </x:c>
      <x:c r="C18" s="4" t="str">
        <x:v>中间披露</x:v>
      </x:c>
      <x:c r="D18" s="4" t="str">
        <x:v>税息折旧摊销前利润</x:v>
      </x:c>
      <x:c r="E18" s="8" t="n">
        <x:v>30112949.05</x:v>
      </x:c>
      <x:c r="F18" s="4" t="str">
        <x:v>30,112,949.05</x:v>
      </x:c>
      <x:c r="G18" s="4" t="str">
        <x:v>华夏北京保障房REIT_2025中报_20250830.pdf，PDF第11页，3.3.2.1及附注</x:v>
      </x:c>
    </x:row>
    <x:row r="19" ht="42" customHeight="1">
      <x:c r="A19" s="4" t="str">
        <x:v>华夏北京保障房REIT</x:v>
      </x:c>
      <x:c r="B19" s="4" t="str">
        <x:v>2025上半年</x:v>
      </x:c>
      <x:c r="C19" s="4" t="str">
        <x:v>调增</x:v>
      </x:c>
      <x:c r="D19" s="4" t="str">
        <x:v>其他可能的调整项</x:v>
      </x:c>
      <x:c r="E19" s="8" t="n">
        <x:v>946199997.98</x:v>
      </x:c>
      <x:c r="F19" s="4" t="str">
        <x:v>946,199,997.98</x:v>
      </x:c>
      <x:c r="G19" s="4" t="str">
        <x:v>华夏北京保障房REIT_2025中报_20250830.pdf，PDF第11页，3.3.2.1及附注</x:v>
      </x:c>
    </x:row>
    <x:row r="20" ht="42" customHeight="1">
      <x:c r="A20" s="4" t="str">
        <x:v>华夏北京保障房REIT</x:v>
      </x:c>
      <x:c r="B20" s="4" t="str">
        <x:v>2025上半年</x:v>
      </x:c>
      <x:c r="C20" s="4" t="str">
        <x:v>调减</x:v>
      </x:c>
      <x:c r="D20" s="4" t="str">
        <x:v>当期购买基础设施项目等资本性支出</x:v>
      </x:c>
      <x:c r="E20" s="8" t="n">
        <x:v>-912509113.09</x:v>
      </x:c>
      <x:c r="F20" s="4" t="str">
        <x:v>-912,509,113.09</x:v>
      </x:c>
      <x:c r="G20" s="4" t="str">
        <x:v>华夏北京保障房REIT_2025中报_20250830.pdf，PDF第11页，3.3.2.1及附注</x:v>
      </x:c>
    </x:row>
    <x:row r="21" ht="42" customHeight="1">
      <x:c r="A21" s="4" t="str">
        <x:v>华夏北京保障房REIT</x:v>
      </x:c>
      <x:c r="B21" s="4" t="str">
        <x:v>2025上半年</x:v>
      </x:c>
      <x:c r="C21" s="4" t="str">
        <x:v>调减</x:v>
      </x:c>
      <x:c r="D21" s="4" t="str">
        <x:v>支付基金设立日前归属于原始权益人的利润</x:v>
      </x:c>
      <x:c r="E21" s="8" t="n">
        <x:v>0</x:v>
      </x:c>
      <x:c r="F21" s="4" t="str">
        <x:v>-</x:v>
      </x:c>
      <x:c r="G21" s="4" t="str">
        <x:v>华夏北京保障房REIT_2025中报_20250830.pdf，PDF第11页，3.3.2.1及附注</x:v>
      </x:c>
    </x:row>
    <x:row r="22" ht="42" customHeight="1">
      <x:c r="A22" s="4" t="str">
        <x:v>华夏北京保障房REIT</x:v>
      </x:c>
      <x:c r="B22" s="4" t="str">
        <x:v>2025上半年</x:v>
      </x:c>
      <x:c r="C22" s="4" t="str">
        <x:v>调减</x:v>
      </x:c>
      <x:c r="D22" s="4" t="str">
        <x:v>支付的利息及所得税费用</x:v>
      </x:c>
      <x:c r="E22" s="8" t="n">
        <x:v>0</x:v>
      </x:c>
      <x:c r="F22" s="4" t="str">
        <x:v>-</x:v>
      </x:c>
      <x:c r="G22" s="4" t="str">
        <x:v>华夏北京保障房REIT_2025中报_20250830.pdf，PDF第11页，3.3.2.1及附注</x:v>
      </x:c>
    </x:row>
    <x:row r="23" ht="42" customHeight="1">
      <x:c r="A23" s="4" t="str">
        <x:v>华夏北京保障房REIT</x:v>
      </x:c>
      <x:c r="B23" s="4" t="str">
        <x:v>2025上半年</x:v>
      </x:c>
      <x:c r="C23" s="4" t="str">
        <x:v>调减</x:v>
      </x:c>
      <x:c r="D23" s="4" t="str">
        <x:v>应收和应付项目的变动</x:v>
      </x:c>
      <x:c r="E23" s="8" t="n">
        <x:v>-1804999.35</x:v>
      </x:c>
      <x:c r="F23" s="4" t="str">
        <x:v>-1,804,999.35</x:v>
      </x:c>
      <x:c r="G23" s="4" t="str">
        <x:v>华夏北京保障房REIT_2025中报_20250830.pdf，PDF第11页，3.3.2.1及附注</x:v>
      </x:c>
    </x:row>
    <x:row r="24" ht="42" customHeight="1">
      <x:c r="A24" s="4" t="str">
        <x:v>华夏北京保障房REIT</x:v>
      </x:c>
      <x:c r="B24" s="4" t="str">
        <x:v>2025上半年</x:v>
      </x:c>
      <x:c r="C24" s="4" t="str">
        <x:v>调减</x:v>
      </x:c>
      <x:c r="D24" s="4" t="str">
        <x:v>未来合理相关支出预留</x:v>
      </x:c>
      <x:c r="E24" s="8" t="n">
        <x:v>-32892141.2</x:v>
      </x:c>
      <x:c r="F24" s="4" t="str">
        <x:v>-32,892,141.20</x:v>
      </x:c>
      <x:c r="G24" s="4" t="str">
        <x:v>华夏北京保障房REIT_2025中报_20250830.pdf，PDF第11页，3.3.2.1及附注</x:v>
      </x:c>
    </x:row>
    <x:row r="25" ht="42" customHeight="1">
      <x:c r="A25" s="4" t="str">
        <x:v>华夏北京保障房REIT</x:v>
      </x:c>
      <x:c r="B25" s="4" t="str">
        <x:v>2025上半年</x:v>
      </x:c>
      <x:c r="C25" s="4" t="str">
        <x:v>最终披露</x:v>
      </x:c>
      <x:c r="D25" s="4" t="str">
        <x:v>可供分配金额</x:v>
      </x:c>
      <x:c r="E25" s="8" t="n">
        <x:v>29106693.39</x:v>
      </x:c>
      <x:c r="F25" s="4" t="str">
        <x:v>29,106,693.39</x:v>
      </x:c>
      <x:c r="G25" s="4" t="str">
        <x:v>华夏北京保障房REIT_2025中报_20250830.pdf，PDF第11页，3.3.2.1及附注</x:v>
      </x:c>
    </x:row>
    <x:row r="26" ht="42" customHeight="1">
      <x:c r="A26" s="4" t="str">
        <x:v>华夏华润商业REIT</x:v>
      </x:c>
      <x:c r="B26" s="4" t="str">
        <x:v>2024年度</x:v>
      </x:c>
      <x:c r="C26" s="4" t="str">
        <x:v>利润基础</x:v>
      </x:c>
      <x:c r="D26" s="4" t="str">
        <x:v>合并净利润</x:v>
      </x:c>
      <x:c r="E26" s="8" t="n">
        <x:v>12312039.93</x:v>
      </x:c>
      <x:c r="F26" s="4" t="str">
        <x:v>12,312,039.93</x:v>
      </x:c>
      <x:c r="G26" s="4" t="str">
        <x:v>华夏华润商业REIT_2024年报_20250331.pdf，PDF第10页，3.3.2.1及附注</x:v>
      </x:c>
    </x:row>
    <x:row r="27" ht="42" customHeight="1">
      <x:c r="A27" s="4" t="str">
        <x:v>华夏华润商业REIT</x:v>
      </x:c>
      <x:c r="B27" s="4" t="str">
        <x:v>2024年度</x:v>
      </x:c>
      <x:c r="C27" s="4" t="str">
        <x:v>利润基础</x:v>
      </x:c>
      <x:c r="D27" s="4" t="str">
        <x:v>折旧和摊销</x:v>
      </x:c>
      <x:c r="E27" s="8" t="n">
        <x:v>300957705.96</x:v>
      </x:c>
      <x:c r="F27" s="4" t="str">
        <x:v>300,957,705.96</x:v>
      </x:c>
      <x:c r="G27" s="4" t="str">
        <x:v>华夏华润商业REIT_2024年报_20250331.pdf，PDF第10页，3.3.2.1及附注</x:v>
      </x:c>
    </x:row>
    <x:row r="28" ht="42" customHeight="1">
      <x:c r="A28" s="4" t="str">
        <x:v>华夏华润商业REIT</x:v>
      </x:c>
      <x:c r="B28" s="4" t="str">
        <x:v>2024年度</x:v>
      </x:c>
      <x:c r="C28" s="4" t="str">
        <x:v>利润基础</x:v>
      </x:c>
      <x:c r="D28" s="4" t="str">
        <x:v>利息支出</x:v>
      </x:c>
      <x:c r="E28" s="8" t="n">
        <x:v>39960319.36</x:v>
      </x:c>
      <x:c r="F28" s="4" t="str">
        <x:v>39,960,319.36</x:v>
      </x:c>
      <x:c r="G28" s="4" t="str">
        <x:v>华夏华润商业REIT_2024年报_20250331.pdf，PDF第10页，3.3.2.1及附注</x:v>
      </x:c>
    </x:row>
    <x:row r="29" ht="42" customHeight="1">
      <x:c r="A29" s="4" t="str">
        <x:v>华夏华润商业REIT</x:v>
      </x:c>
      <x:c r="B29" s="4" t="str">
        <x:v>2024年度</x:v>
      </x:c>
      <x:c r="C29" s="4" t="str">
        <x:v>利润基础</x:v>
      </x:c>
      <x:c r="D29" s="4" t="str">
        <x:v>所得税费用</x:v>
      </x:c>
      <x:c r="E29" s="8" t="n">
        <x:v>-2023996.22</x:v>
      </x:c>
      <x:c r="F29" s="4" t="str">
        <x:v>-2,023,996.22</x:v>
      </x:c>
      <x:c r="G29" s="4" t="str">
        <x:v>华夏华润商业REIT_2024年报_20250331.pdf，PDF第10页，3.3.2.1及附注</x:v>
      </x:c>
    </x:row>
    <x:row r="30" ht="42" customHeight="1">
      <x:c r="A30" s="4" t="str">
        <x:v>华夏华润商业REIT</x:v>
      </x:c>
      <x:c r="B30" s="4" t="str">
        <x:v>2024年度</x:v>
      </x:c>
      <x:c r="C30" s="4" t="str">
        <x:v>中间披露</x:v>
      </x:c>
      <x:c r="D30" s="4" t="str">
        <x:v>税息折旧摊销前利润</x:v>
      </x:c>
      <x:c r="E30" s="8" t="n">
        <x:v>351206069.03</x:v>
      </x:c>
      <x:c r="F30" s="4" t="str">
        <x:v>351,206,069.03</x:v>
      </x:c>
      <x:c r="G30" s="4" t="str">
        <x:v>华夏华润商业REIT_2024年报_20250331.pdf，PDF第10页，3.3.2.1及附注</x:v>
      </x:c>
    </x:row>
    <x:row r="31" ht="42" customHeight="1">
      <x:c r="A31" s="4" t="str">
        <x:v>华夏华润商业REIT</x:v>
      </x:c>
      <x:c r="B31" s="4" t="str">
        <x:v>2024年度</x:v>
      </x:c>
      <x:c r="C31" s="4" t="str">
        <x:v>调增</x:v>
      </x:c>
      <x:c r="D31" s="4" t="str">
        <x:v>其他可能的调整项</x:v>
      </x:c>
      <x:c r="E31" s="8" t="n">
        <x:v>8131927742.31</x:v>
      </x:c>
      <x:c r="F31" s="4" t="str">
        <x:v>8,131,927,742.31</x:v>
      </x:c>
      <x:c r="G31" s="4" t="str">
        <x:v>华夏华润商业REIT_2024年报_20250331.pdf，PDF第10页，3.3.2.1及附注</x:v>
      </x:c>
    </x:row>
    <x:row r="32" ht="42" customHeight="1">
      <x:c r="A32" s="4" t="str">
        <x:v>华夏华润商业REIT</x:v>
      </x:c>
      <x:c r="B32" s="4" t="str">
        <x:v>2024年度</x:v>
      </x:c>
      <x:c r="C32" s="4" t="str">
        <x:v>调增</x:v>
      </x:c>
      <x:c r="D32" s="4" t="str">
        <x:v>应收和应付项目的变动</x:v>
      </x:c>
      <x:c r="E32" s="8" t="n">
        <x:v>-2205254.77</x:v>
      </x:c>
      <x:c r="F32" s="4" t="str">
        <x:v>-2,205,254.77</x:v>
      </x:c>
      <x:c r="G32" s="4" t="str">
        <x:v>华夏华润商业REIT_2024年报_20250331.pdf，PDF第10页，3.3.2.1及附注</x:v>
      </x:c>
    </x:row>
    <x:row r="33" ht="42" customHeight="1">
      <x:c r="A33" s="4" t="str">
        <x:v>华夏华润商业REIT</x:v>
      </x:c>
      <x:c r="B33" s="4" t="str">
        <x:v>2024年度</x:v>
      </x:c>
      <x:c r="C33" s="4" t="str">
        <x:v>调减</x:v>
      </x:c>
      <x:c r="D33" s="4" t="str">
        <x:v>当期购买基础设施项目等资本性支出</x:v>
      </x:c>
      <x:c r="E33" s="8" t="n">
        <x:v>-5575240843.92</x:v>
      </x:c>
      <x:c r="F33" s="4" t="str">
        <x:v>-5,575,240,843.92</x:v>
      </x:c>
      <x:c r="G33" s="4" t="str">
        <x:v>华夏华润商业REIT_2024年报_20250331.pdf，PDF第10页，3.3.2.1及附注</x:v>
      </x:c>
    </x:row>
    <x:row r="34" ht="42" customHeight="1">
      <x:c r="A34" s="4" t="str">
        <x:v>华夏华润商业REIT</x:v>
      </x:c>
      <x:c r="B34" s="4" t="str">
        <x:v>2024年度</x:v>
      </x:c>
      <x:c r="C34" s="4" t="str">
        <x:v>调减</x:v>
      </x:c>
      <x:c r="D34" s="4" t="str">
        <x:v>支付的利息及所得税费用</x:v>
      </x:c>
      <x:c r="E34" s="8" t="n">
        <x:v>-52477967.03</x:v>
      </x:c>
      <x:c r="F34" s="4" t="str">
        <x:v>-52,477,967.03</x:v>
      </x:c>
      <x:c r="G34" s="4" t="str">
        <x:v>华夏华润商业REIT_2024年报_20250331.pdf，PDF第10页，3.3.2.1及附注</x:v>
      </x:c>
    </x:row>
    <x:row r="35" ht="42" customHeight="1">
      <x:c r="A35" s="4" t="str">
        <x:v>华夏华润商业REIT</x:v>
      </x:c>
      <x:c r="B35" s="4" t="str">
        <x:v>2024年度</x:v>
      </x:c>
      <x:c r="C35" s="4" t="str">
        <x:v>调减</x:v>
      </x:c>
      <x:c r="D35" s="4" t="str">
        <x:v>偿还借款支付的本金</x:v>
      </x:c>
      <x:c r="E35" s="8" t="n">
        <x:v>-1903823488.37</x:v>
      </x:c>
      <x:c r="F35" s="4" t="str">
        <x:v>-1,903,823,488.37</x:v>
      </x:c>
      <x:c r="G35" s="4" t="str">
        <x:v>华夏华润商业REIT_2024年报_20250331.pdf，PDF第10页，3.3.2.1及附注</x:v>
      </x:c>
    </x:row>
    <x:row r="36" ht="42" customHeight="1">
      <x:c r="A36" s="4" t="str">
        <x:v>华夏华润商业REIT</x:v>
      </x:c>
      <x:c r="B36" s="4" t="str">
        <x:v>2024年度</x:v>
      </x:c>
      <x:c r="C36" s="4" t="str">
        <x:v>调减</x:v>
      </x:c>
      <x:c r="D36" s="4" t="str">
        <x:v>未来合理相关支出预留</x:v>
      </x:c>
      <x:c r="E36" s="8" t="n">
        <x:v>-634040385.93</x:v>
      </x:c>
      <x:c r="F36" s="4" t="str">
        <x:v>-634,040,385.93</x:v>
      </x:c>
      <x:c r="G36" s="4" t="str">
        <x:v>华夏华润商业REIT_2024年报_20250331.pdf，PDF第10页，3.3.2.1及附注</x:v>
      </x:c>
    </x:row>
    <x:row r="37" ht="42" customHeight="1">
      <x:c r="A37" s="4" t="str">
        <x:v>华夏华润商业REIT</x:v>
      </x:c>
      <x:c r="B37" s="4" t="str">
        <x:v>2024年度</x:v>
      </x:c>
      <x:c r="C37" s="4" t="str">
        <x:v>最终披露</x:v>
      </x:c>
      <x:c r="D37" s="4" t="str">
        <x:v>可供分配金额</x:v>
      </x:c>
      <x:c r="E37" s="8" t="n">
        <x:v>315345871.32</x:v>
      </x:c>
      <x:c r="F37" s="4" t="str">
        <x:v>315,345,871.32</x:v>
      </x:c>
      <x:c r="G37" s="4" t="str">
        <x:v>华夏华润商业REIT_2024年报_20250331.pdf，PDF第10页，3.3.2.1及附注</x:v>
      </x:c>
    </x:row>
    <x:row r="38" ht="42" customHeight="1">
      <x:c r="A38" s="4" t="str">
        <x:v>华夏华润商业REIT</x:v>
      </x:c>
      <x:c r="B38" s="4" t="str">
        <x:v>2025上半年</x:v>
      </x:c>
      <x:c r="C38" s="4" t="str">
        <x:v>利润基础</x:v>
      </x:c>
      <x:c r="D38" s="4" t="str">
        <x:v>合并净利润</x:v>
      </x:c>
      <x:c r="E38" s="8" t="n">
        <x:v>16111198.05</x:v>
      </x:c>
      <x:c r="F38" s="4" t="str">
        <x:v>16,111,198.05</x:v>
      </x:c>
      <x:c r="G38" s="4" t="str">
        <x:v>华夏华润商业REIT_2025中报_20250830.pdf，PDF第9页，3.3.2.1及附注</x:v>
      </x:c>
    </x:row>
    <x:row r="39" ht="42" customHeight="1">
      <x:c r="A39" s="4" t="str">
        <x:v>华夏华润商业REIT</x:v>
      </x:c>
      <x:c r="B39" s="4" t="str">
        <x:v>2025上半年</x:v>
      </x:c>
      <x:c r="C39" s="4" t="str">
        <x:v>利润基础</x:v>
      </x:c>
      <x:c r="D39" s="4" t="str">
        <x:v>折旧和摊销</x:v>
      </x:c>
      <x:c r="E39" s="8" t="n">
        <x:v>166131850.67</x:v>
      </x:c>
      <x:c r="F39" s="4" t="str">
        <x:v>166,131,850.67</x:v>
      </x:c>
      <x:c r="G39" s="4" t="str">
        <x:v>华夏华润商业REIT_2025中报_20250830.pdf，PDF第9页，3.3.2.1及附注</x:v>
      </x:c>
    </x:row>
    <x:row r="40" ht="42" customHeight="1">
      <x:c r="A40" s="4" t="str">
        <x:v>华夏华润商业REIT</x:v>
      </x:c>
      <x:c r="B40" s="4" t="str">
        <x:v>2025上半年</x:v>
      </x:c>
      <x:c r="C40" s="4" t="str">
        <x:v>利润基础</x:v>
      </x:c>
      <x:c r="D40" s="4" t="str">
        <x:v>利息支出</x:v>
      </x:c>
      <x:c r="E40" s="8" t="n">
        <x:v>20404218.29</x:v>
      </x:c>
      <x:c r="F40" s="4" t="str">
        <x:v>20,404,218.29</x:v>
      </x:c>
      <x:c r="G40" s="4" t="str">
        <x:v>华夏华润商业REIT_2025中报_20250830.pdf，PDF第9页，3.3.2.1及附注</x:v>
      </x:c>
    </x:row>
    <x:row r="41" ht="42" customHeight="1">
      <x:c r="A41" s="4" t="str">
        <x:v>华夏华润商业REIT</x:v>
      </x:c>
      <x:c r="B41" s="4" t="str">
        <x:v>2025上半年</x:v>
      </x:c>
      <x:c r="C41" s="4" t="str">
        <x:v>利润基础</x:v>
      </x:c>
      <x:c r="D41" s="4" t="str">
        <x:v>所得税费用</x:v>
      </x:c>
      <x:c r="E41" s="8" t="n">
        <x:v>-6005.83</x:v>
      </x:c>
      <x:c r="F41" s="4" t="str">
        <x:v>-6,005.83</x:v>
      </x:c>
      <x:c r="G41" s="4" t="str">
        <x:v>华夏华润商业REIT_2025中报_20250830.pdf，PDF第9页，3.3.2.1及附注</x:v>
      </x:c>
    </x:row>
    <x:row r="42" ht="42" customHeight="1">
      <x:c r="A42" s="4" t="str">
        <x:v>华夏华润商业REIT</x:v>
      </x:c>
      <x:c r="B42" s="4" t="str">
        <x:v>2025上半年</x:v>
      </x:c>
      <x:c r="C42" s="4" t="str">
        <x:v>中间披露</x:v>
      </x:c>
      <x:c r="D42" s="4" t="str">
        <x:v>税息折旧摊销前利润</x:v>
      </x:c>
      <x:c r="E42" s="8" t="n">
        <x:v>202641261.18</x:v>
      </x:c>
      <x:c r="F42" s="4" t="str">
        <x:v>202,641,261.18</x:v>
      </x:c>
      <x:c r="G42" s="4" t="str">
        <x:v>华夏华润商业REIT_2025中报_20250830.pdf，PDF第9页，3.3.2.1及附注</x:v>
      </x:c>
    </x:row>
    <x:row r="43" ht="42" customHeight="1">
      <x:c r="A43" s="4" t="str">
        <x:v>华夏华润商业REIT</x:v>
      </x:c>
      <x:c r="B43" s="4" t="str">
        <x:v>2025上半年</x:v>
      </x:c>
      <x:c r="C43" s="4" t="str">
        <x:v>调增</x:v>
      </x:c>
      <x:c r="D43" s="4" t="str">
        <x:v>应收和应付项目的变动</x:v>
      </x:c>
      <x:c r="E43" s="8" t="n">
        <x:v>3532395.28</x:v>
      </x:c>
      <x:c r="F43" s="4" t="str">
        <x:v>3,532,395.28</x:v>
      </x:c>
      <x:c r="G43" s="4" t="str">
        <x:v>华夏华润商业REIT_2025中报_20250830.pdf，PDF第9页，3.3.2.1及附注</x:v>
      </x:c>
    </x:row>
    <x:row r="44" ht="42" customHeight="1">
      <x:c r="A44" s="4" t="str">
        <x:v>华夏华润商业REIT</x:v>
      </x:c>
      <x:c r="B44" s="4" t="str">
        <x:v>2025上半年</x:v>
      </x:c>
      <x:c r="C44" s="4" t="str">
        <x:v>调增</x:v>
      </x:c>
      <x:c r="D44" s="4" t="str">
        <x:v>未来合理相关支出预留</x:v>
      </x:c>
      <x:c r="E44" s="8" t="n">
        <x:v>37905852.82</x:v>
      </x:c>
      <x:c r="F44" s="4" t="str">
        <x:v>37,905,852.82</x:v>
      </x:c>
      <x:c r="G44" s="4" t="str">
        <x:v>华夏华润商业REIT_2025中报_20250830.pdf，PDF第9页，3.3.2.1及附注</x:v>
      </x:c>
    </x:row>
    <x:row r="45" ht="42" customHeight="1">
      <x:c r="A45" s="4" t="str">
        <x:v>华夏华润商业REIT</x:v>
      </x:c>
      <x:c r="B45" s="4" t="str">
        <x:v>2025上半年</x:v>
      </x:c>
      <x:c r="C45" s="4" t="str">
        <x:v>调减</x:v>
      </x:c>
      <x:c r="D45" s="4" t="str">
        <x:v>当期购买基础设施项目等资本性支出</x:v>
      </x:c>
      <x:c r="E45" s="8" t="n">
        <x:v>-48759498.9</x:v>
      </x:c>
      <x:c r="F45" s="4" t="str">
        <x:v>-48,759,498.90</x:v>
      </x:c>
      <x:c r="G45" s="4" t="str">
        <x:v>华夏华润商业REIT_2025中报_20250830.pdf，PDF第9页，3.3.2.1及附注</x:v>
      </x:c>
    </x:row>
    <x:row r="46" ht="42" customHeight="1">
      <x:c r="A46" s="4" t="str">
        <x:v>华夏华润商业REIT</x:v>
      </x:c>
      <x:c r="B46" s="4" t="str">
        <x:v>2025上半年</x:v>
      </x:c>
      <x:c r="C46" s="4" t="str">
        <x:v>调减</x:v>
      </x:c>
      <x:c r="D46" s="4" t="str">
        <x:v>支付的利息及所得税费用</x:v>
      </x:c>
      <x:c r="E46" s="8" t="n">
        <x:v>-14796235.59</x:v>
      </x:c>
      <x:c r="F46" s="4" t="str">
        <x:v>-14,796,235.59</x:v>
      </x:c>
      <x:c r="G46" s="4" t="str">
        <x:v>华夏华润商业REIT_2025中报_20250830.pdf，PDF第9页，3.3.2.1及附注</x:v>
      </x:c>
    </x:row>
    <x:row r="47" ht="42" customHeight="1">
      <x:c r="A47" s="4" t="str">
        <x:v>华夏华润商业REIT</x:v>
      </x:c>
      <x:c r="B47" s="4" t="str">
        <x:v>2025上半年</x:v>
      </x:c>
      <x:c r="C47" s="4" t="str">
        <x:v>调减</x:v>
      </x:c>
      <x:c r="D47" s="4" t="str">
        <x:v>偿还借款支付的本金</x:v>
      </x:c>
      <x:c r="E47" s="8" t="n">
        <x:v>-50000</x:v>
      </x:c>
      <x:c r="F47" s="4" t="str">
        <x:v>-50,000.00</x:v>
      </x:c>
      <x:c r="G47" s="4" t="str">
        <x:v>华夏华润商业REIT_2025中报_20250830.pdf，PDF第9页，3.3.2.1及附注</x:v>
      </x:c>
    </x:row>
    <x:row r="48" ht="42" customHeight="1">
      <x:c r="A48" s="4" t="str">
        <x:v>华夏华润商业REIT</x:v>
      </x:c>
      <x:c r="B48" s="4" t="str">
        <x:v>2025上半年</x:v>
      </x:c>
      <x:c r="C48" s="4" t="str">
        <x:v>调减</x:v>
      </x:c>
      <x:c r="D48" s="4" t="str">
        <x:v>其他可能的调整项</x:v>
      </x:c>
      <x:c r="E48" s="8" t="n">
        <x:v>-1047206.99</x:v>
      </x:c>
      <x:c r="F48" s="4" t="str">
        <x:v>-1,047,206.99</x:v>
      </x:c>
      <x:c r="G48" s="4" t="str">
        <x:v>华夏华润商业REIT_2025中报_20250830.pdf，PDF第9页，3.3.2.1及附注</x:v>
      </x:c>
    </x:row>
    <x:row r="49" ht="42" customHeight="1">
      <x:c r="A49" s="4" t="str">
        <x:v>华夏华润商业REIT</x:v>
      </x:c>
      <x:c r="B49" s="4" t="str">
        <x:v>2025上半年</x:v>
      </x:c>
      <x:c r="C49" s="4" t="str">
        <x:v>最终披露</x:v>
      </x:c>
      <x:c r="D49" s="4" t="str">
        <x:v>可供分配金额</x:v>
      </x:c>
      <x:c r="E49" s="8" t="n">
        <x:v>179426567.8</x:v>
      </x:c>
      <x:c r="F49" s="4" t="str">
        <x:v>179,426,567.80</x:v>
      </x:c>
      <x:c r="G49" s="4" t="str">
        <x:v>华夏华润商业REIT_2025中报_20250830.pdf，PDF第9页，3.3.2.1及附注</x:v>
      </x:c>
    </x:row>
    <x:row r="50" ht="42" customHeight="1">
      <x:c r="A50" s="4" t="str">
        <x:v>华夏合肥高新REIT</x:v>
      </x:c>
      <x:c r="B50" s="4" t="str">
        <x:v>2024年度</x:v>
      </x:c>
      <x:c r="C50" s="4" t="str">
        <x:v>利润基础</x:v>
      </x:c>
      <x:c r="D50" s="4" t="str">
        <x:v>合并净利润</x:v>
      </x:c>
      <x:c r="E50" s="8" t="n">
        <x:v>22988278.44</x:v>
      </x:c>
      <x:c r="F50" s="4" t="str">
        <x:v>22,988,278.44</x:v>
      </x:c>
      <x:c r="G50" s="4" t="str">
        <x:v>华夏合肥高新REIT_2024年报_20250331.pdf，PDF第10页，3.3.2.1及附注</x:v>
      </x:c>
    </x:row>
    <x:row r="51" ht="42" customHeight="1">
      <x:c r="A51" s="4" t="str">
        <x:v>华夏合肥高新REIT</x:v>
      </x:c>
      <x:c r="B51" s="4" t="str">
        <x:v>2024年度</x:v>
      </x:c>
      <x:c r="C51" s="4" t="str">
        <x:v>利润基础</x:v>
      </x:c>
      <x:c r="D51" s="4" t="str">
        <x:v>折旧和摊销</x:v>
      </x:c>
      <x:c r="E51" s="8" t="n">
        <x:v>35328885.28</x:v>
      </x:c>
      <x:c r="F51" s="4" t="str">
        <x:v>35,328,885.28</x:v>
      </x:c>
      <x:c r="G51" s="4" t="str">
        <x:v>华夏合肥高新REIT_2024年报_20250331.pdf，PDF第10页，3.3.2.1及附注</x:v>
      </x:c>
    </x:row>
    <x:row r="52" ht="42" customHeight="1">
      <x:c r="A52" s="4" t="str">
        <x:v>华夏合肥高新REIT</x:v>
      </x:c>
      <x:c r="B52" s="4" t="str">
        <x:v>2024年度</x:v>
      </x:c>
      <x:c r="C52" s="4" t="str">
        <x:v>利润基础</x:v>
      </x:c>
      <x:c r="D52" s="4" t="str">
        <x:v>利息支出</x:v>
      </x:c>
      <x:c r="E52" s="8" t="n">
        <x:v>0</x:v>
      </x:c>
      <x:c r="F52" s="4" t="str">
        <x:v>-</x:v>
      </x:c>
      <x:c r="G52" s="4" t="str">
        <x:v>华夏合肥高新REIT_2024年报_20250331.pdf，PDF第10页，3.3.2.1及附注</x:v>
      </x:c>
    </x:row>
    <x:row r="53" ht="42" customHeight="1">
      <x:c r="A53" s="4" t="str">
        <x:v>华夏合肥高新REIT</x:v>
      </x:c>
      <x:c r="B53" s="4" t="str">
        <x:v>2024年度</x:v>
      </x:c>
      <x:c r="C53" s="4" t="str">
        <x:v>利润基础</x:v>
      </x:c>
      <x:c r="D53" s="4" t="str">
        <x:v>所得税费用</x:v>
      </x:c>
      <x:c r="E53" s="8" t="n">
        <x:v>-2654641.28</x:v>
      </x:c>
      <x:c r="F53" s="4" t="str">
        <x:v>-2,654,641.28</x:v>
      </x:c>
      <x:c r="G53" s="4" t="str">
        <x:v>华夏合肥高新REIT_2024年报_20250331.pdf，PDF第10页，3.3.2.1及附注</x:v>
      </x:c>
    </x:row>
    <x:row r="54" ht="42" customHeight="1">
      <x:c r="A54" s="4" t="str">
        <x:v>华夏合肥高新REIT</x:v>
      </x:c>
      <x:c r="B54" s="4" t="str">
        <x:v>2024年度</x:v>
      </x:c>
      <x:c r="C54" s="4" t="str">
        <x:v>中间披露</x:v>
      </x:c>
      <x:c r="D54" s="4" t="str">
        <x:v>税息折旧摊销前利润</x:v>
      </x:c>
      <x:c r="E54" s="8" t="n">
        <x:v>55662522.44</x:v>
      </x:c>
      <x:c r="F54" s="4" t="str">
        <x:v>55,662,522.44</x:v>
      </x:c>
      <x:c r="G54" s="4" t="str">
        <x:v>华夏合肥高新REIT_2024年报_20250331.pdf，PDF第10页，3.3.2.1及附注</x:v>
      </x:c>
    </x:row>
    <x:row r="55" ht="42" customHeight="1">
      <x:c r="A55" s="4" t="str">
        <x:v>华夏合肥高新REIT</x:v>
      </x:c>
      <x:c r="B55" s="4" t="str">
        <x:v>2024年度</x:v>
      </x:c>
      <x:c r="C55" s="4" t="str">
        <x:v>调增</x:v>
      </x:c>
      <x:c r="D55" s="4" t="str">
        <x:v>其他可能的调整项</x:v>
      </x:c>
      <x:c r="E55" s="8" t="n">
        <x:v>19631728.23</x:v>
      </x:c>
      <x:c r="F55" s="4" t="str">
        <x:v>19,631,728.23</x:v>
      </x:c>
      <x:c r="G55" s="4" t="str">
        <x:v>华夏合肥高新REIT_2024年报_20250331.pdf，PDF第10页，3.3.2.1及附注</x:v>
      </x:c>
    </x:row>
    <x:row r="56" ht="42" customHeight="1">
      <x:c r="A56" s="4" t="str">
        <x:v>华夏合肥高新REIT</x:v>
      </x:c>
      <x:c r="B56" s="4" t="str">
        <x:v>2024年度</x:v>
      </x:c>
      <x:c r="C56" s="4" t="str">
        <x:v>调增</x:v>
      </x:c>
      <x:c r="D56" s="4" t="str">
        <x:v>未来合理相关支出预留</x:v>
      </x:c>
      <x:c r="E56" s="8" t="n">
        <x:v>2659469.53</x:v>
      </x:c>
      <x:c r="F56" s="4" t="str">
        <x:v>2,659,469.53</x:v>
      </x:c>
      <x:c r="G56" s="4" t="str">
        <x:v>华夏合肥高新REIT_2024年报_20250331.pdf，PDF第10页，3.3.2.1及附注</x:v>
      </x:c>
    </x:row>
    <x:row r="57" ht="42" customHeight="1">
      <x:c r="A57" s="4" t="str">
        <x:v>华夏合肥高新REIT</x:v>
      </x:c>
      <x:c r="B57" s="4" t="str">
        <x:v>2024年度</x:v>
      </x:c>
      <x:c r="C57" s="4" t="str">
        <x:v>调减</x:v>
      </x:c>
      <x:c r="D57" s="4" t="str">
        <x:v>应收和应付项目的变动</x:v>
      </x:c>
      <x:c r="E57" s="8" t="n">
        <x:v>-2299789.61</x:v>
      </x:c>
      <x:c r="F57" s="4" t="str">
        <x:v>-2,299,789.61</x:v>
      </x:c>
      <x:c r="G57" s="4" t="str">
        <x:v>华夏合肥高新REIT_2024年报_20250331.pdf，PDF第10页，3.3.2.1及附注</x:v>
      </x:c>
    </x:row>
    <x:row r="58" ht="42" customHeight="1">
      <x:c r="A58" s="4" t="str">
        <x:v>华夏合肥高新REIT</x:v>
      </x:c>
      <x:c r="B58" s="4" t="str">
        <x:v>2024年度</x:v>
      </x:c>
      <x:c r="C58" s="4" t="str">
        <x:v>最终披露</x:v>
      </x:c>
      <x:c r="D58" s="4" t="str">
        <x:v>可供分配金额</x:v>
      </x:c>
      <x:c r="E58" s="8" t="n">
        <x:v>75653930.59</x:v>
      </x:c>
      <x:c r="F58" s="4" t="str">
        <x:v>75,653,930.59</x:v>
      </x:c>
      <x:c r="G58" s="4" t="str">
        <x:v>华夏合肥高新REIT_2024年报_20250331.pdf，PDF第10页，3.3.2.1及附注</x:v>
      </x:c>
    </x:row>
    <x:row r="59" ht="42" customHeight="1">
      <x:c r="A59" s="4" t="str">
        <x:v>华夏合肥高新REIT</x:v>
      </x:c>
      <x:c r="B59" s="4" t="str">
        <x:v>2025上半年</x:v>
      </x:c>
      <x:c r="C59" s="4" t="str">
        <x:v>利润基础</x:v>
      </x:c>
      <x:c r="D59" s="4" t="str">
        <x:v>合并净利润</x:v>
      </x:c>
      <x:c r="E59" s="8" t="n">
        <x:v>10007457.05</x:v>
      </x:c>
      <x:c r="F59" s="4" t="str">
        <x:v>10,007,457.05</x:v>
      </x:c>
      <x:c r="G59" s="4" t="str">
        <x:v>华夏合肥高新REIT_2025中报_20250830.pdf，PDF第8页，3.3.2.1及附注</x:v>
      </x:c>
    </x:row>
    <x:row r="60" ht="42" customHeight="1">
      <x:c r="A60" s="4" t="str">
        <x:v>华夏合肥高新REIT</x:v>
      </x:c>
      <x:c r="B60" s="4" t="str">
        <x:v>2025上半年</x:v>
      </x:c>
      <x:c r="C60" s="4" t="str">
        <x:v>利润基础</x:v>
      </x:c>
      <x:c r="D60" s="4" t="str">
        <x:v>折旧和摊销</x:v>
      </x:c>
      <x:c r="E60" s="8" t="n">
        <x:v>17664442.65</x:v>
      </x:c>
      <x:c r="F60" s="4" t="str">
        <x:v>17,664,442.65</x:v>
      </x:c>
      <x:c r="G60" s="4" t="str">
        <x:v>华夏合肥高新REIT_2025中报_20250830.pdf，PDF第8页，3.3.2.1及附注</x:v>
      </x:c>
    </x:row>
    <x:row r="61" ht="42" customHeight="1">
      <x:c r="A61" s="4" t="str">
        <x:v>华夏合肥高新REIT</x:v>
      </x:c>
      <x:c r="B61" s="4" t="str">
        <x:v>2025上半年</x:v>
      </x:c>
      <x:c r="C61" s="4" t="str">
        <x:v>利润基础</x:v>
      </x:c>
      <x:c r="D61" s="4" t="str">
        <x:v>利息支出</x:v>
      </x:c>
      <x:c r="E61" s="8" t="n">
        <x:v>0</x:v>
      </x:c>
      <x:c r="F61" s="4" t="str">
        <x:v>-</x:v>
      </x:c>
      <x:c r="G61" s="4" t="str">
        <x:v>华夏合肥高新REIT_2025中报_20250830.pdf，PDF第8页，3.3.2.1及附注</x:v>
      </x:c>
    </x:row>
    <x:row r="62" ht="42" customHeight="1">
      <x:c r="A62" s="4" t="str">
        <x:v>华夏合肥高新REIT</x:v>
      </x:c>
      <x:c r="B62" s="4" t="str">
        <x:v>2025上半年</x:v>
      </x:c>
      <x:c r="C62" s="4" t="str">
        <x:v>利润基础</x:v>
      </x:c>
      <x:c r="D62" s="4" t="str">
        <x:v>所得税费用</x:v>
      </x:c>
      <x:c r="E62" s="8" t="n">
        <x:v>-1327320.64</x:v>
      </x:c>
      <x:c r="F62" s="4" t="str">
        <x:v>-1,327,320.64</x:v>
      </x:c>
      <x:c r="G62" s="4" t="str">
        <x:v>华夏合肥高新REIT_2025中报_20250830.pdf，PDF第8页，3.3.2.1及附注</x:v>
      </x:c>
    </x:row>
    <x:row r="63" ht="42" customHeight="1">
      <x:c r="A63" s="4" t="str">
        <x:v>华夏合肥高新REIT</x:v>
      </x:c>
      <x:c r="B63" s="4" t="str">
        <x:v>2025上半年</x:v>
      </x:c>
      <x:c r="C63" s="4" t="str">
        <x:v>中间披露</x:v>
      </x:c>
      <x:c r="D63" s="4" t="str">
        <x:v>税息折旧摊销前利润</x:v>
      </x:c>
      <x:c r="E63" s="8" t="n">
        <x:v>26344579.06</x:v>
      </x:c>
      <x:c r="F63" s="4" t="str">
        <x:v>26,344,579.06</x:v>
      </x:c>
      <x:c r="G63" s="4" t="str">
        <x:v>华夏合肥高新REIT_2025中报_20250830.pdf，PDF第8页，3.3.2.1及附注</x:v>
      </x:c>
    </x:row>
    <x:row r="64" ht="42" customHeight="1">
      <x:c r="A64" s="4" t="str">
        <x:v>华夏合肥高新REIT</x:v>
      </x:c>
      <x:c r="B64" s="4" t="str">
        <x:v>2025上半年</x:v>
      </x:c>
      <x:c r="C64" s="4" t="str">
        <x:v>调增</x:v>
      </x:c>
      <x:c r="D64" s="4" t="str">
        <x:v>未来合理相关支出预留</x:v>
      </x:c>
      <x:c r="E64" s="8" t="n">
        <x:v>8533245.85</x:v>
      </x:c>
      <x:c r="F64" s="4" t="str">
        <x:v>8,533,245.85</x:v>
      </x:c>
      <x:c r="G64" s="4" t="str">
        <x:v>华夏合肥高新REIT_2025中报_20250830.pdf，PDF第8页，3.3.2.1及附注</x:v>
      </x:c>
    </x:row>
    <x:row r="65" ht="42" customHeight="1">
      <x:c r="A65" s="4" t="str">
        <x:v>华夏合肥高新REIT</x:v>
      </x:c>
      <x:c r="B65" s="4" t="str">
        <x:v>2025上半年</x:v>
      </x:c>
      <x:c r="C65" s="4" t="str">
        <x:v>调增</x:v>
      </x:c>
      <x:c r="D65" s="4" t="str">
        <x:v>其他可能的调整项</x:v>
      </x:c>
      <x:c r="E65" s="8" t="n">
        <x:v>7459745.75</x:v>
      </x:c>
      <x:c r="F65" s="4" t="str">
        <x:v>7,459,745.75</x:v>
      </x:c>
      <x:c r="G65" s="4" t="str">
        <x:v>华夏合肥高新REIT_2025中报_20250830.pdf，PDF第8页，3.3.2.1及附注</x:v>
      </x:c>
    </x:row>
    <x:row r="66" ht="42" customHeight="1">
      <x:c r="A66" s="4" t="str">
        <x:v>华夏合肥高新REIT</x:v>
      </x:c>
      <x:c r="B66" s="4" t="str">
        <x:v>2025上半年</x:v>
      </x:c>
      <x:c r="C66" s="4" t="str">
        <x:v>调减</x:v>
      </x:c>
      <x:c r="D66" s="4" t="str">
        <x:v>应收和应付项目的变动</x:v>
      </x:c>
      <x:c r="E66" s="8" t="n">
        <x:v>-8125027.55</x:v>
      </x:c>
      <x:c r="F66" s="4" t="str">
        <x:v>-8,125,027.55</x:v>
      </x:c>
      <x:c r="G66" s="4" t="str">
        <x:v>华夏合肥高新REIT_2025中报_20250830.pdf，PDF第8页，3.3.2.1及附注</x:v>
      </x:c>
    </x:row>
    <x:row r="67" ht="42" customHeight="1">
      <x:c r="A67" s="4" t="str">
        <x:v>华夏合肥高新REIT</x:v>
      </x:c>
      <x:c r="B67" s="4" t="str">
        <x:v>2025上半年</x:v>
      </x:c>
      <x:c r="C67" s="4" t="str">
        <x:v>最终披露</x:v>
      </x:c>
      <x:c r="D67" s="4" t="str">
        <x:v>可供分配金额</x:v>
      </x:c>
      <x:c r="E67" s="8" t="n">
        <x:v>34212543.11</x:v>
      </x:c>
      <x:c r="F67" s="4" t="str">
        <x:v>34,212,543.11</x:v>
      </x:c>
      <x:c r="G67" s="4" t="str">
        <x:v>华夏合肥高新REIT_2025中报_20250830.pdf，PDF第8页，3.3.2.1及附注</x:v>
      </x:c>
    </x:row>
    <x:row r="68" ht="42" customHeight="1">
      <x:c r="A68" s="4" t="str">
        <x:v>华夏越秀高速REIT</x:v>
      </x:c>
      <x:c r="B68" s="4" t="str">
        <x:v>2024年度</x:v>
      </x:c>
      <x:c r="C68" s="4" t="str">
        <x:v>利润基础</x:v>
      </x:c>
      <x:c r="D68" s="4" t="str">
        <x:v>合并净利润</x:v>
      </x:c>
      <x:c r="E68" s="8" t="n">
        <x:v>31788523.89</x:v>
      </x:c>
      <x:c r="F68" s="4" t="str">
        <x:v>31,788,523.89</x:v>
      </x:c>
      <x:c r="G68" s="4" t="str">
        <x:v>华夏越秀高速REIT_2024年报_20250331.pdf，PDF第10页，3.3.2.1及附注</x:v>
      </x:c>
    </x:row>
    <x:row r="69" ht="42" customHeight="1">
      <x:c r="A69" s="4" t="str">
        <x:v>华夏越秀高速REIT</x:v>
      </x:c>
      <x:c r="B69" s="4" t="str">
        <x:v>2024年度</x:v>
      </x:c>
      <x:c r="C69" s="4" t="str">
        <x:v>利润基础</x:v>
      </x:c>
      <x:c r="D69" s="4" t="str">
        <x:v>折旧和摊销</x:v>
      </x:c>
      <x:c r="E69" s="8" t="n">
        <x:v>119491650.91</x:v>
      </x:c>
      <x:c r="F69" s="4" t="str">
        <x:v>119,491,650.91</x:v>
      </x:c>
      <x:c r="G69" s="4" t="str">
        <x:v>华夏越秀高速REIT_2024年报_20250331.pdf，PDF第10页，3.3.2.1及附注</x:v>
      </x:c>
    </x:row>
    <x:row r="70" ht="42" customHeight="1">
      <x:c r="A70" s="4" t="str">
        <x:v>华夏越秀高速REIT</x:v>
      </x:c>
      <x:c r="B70" s="4" t="str">
        <x:v>2024年度</x:v>
      </x:c>
      <x:c r="C70" s="4" t="str">
        <x:v>利润基础</x:v>
      </x:c>
      <x:c r="D70" s="4" t="str">
        <x:v>利息支出</x:v>
      </x:c>
      <x:c r="E70" s="8" t="n">
        <x:v>9800541.34</x:v>
      </x:c>
      <x:c r="F70" s="4" t="str">
        <x:v>9,800,541.34</x:v>
      </x:c>
      <x:c r="G70" s="4" t="str">
        <x:v>华夏越秀高速REIT_2024年报_20250331.pdf，PDF第10页，3.3.2.1及附注</x:v>
      </x:c>
    </x:row>
    <x:row r="71" ht="42" customHeight="1">
      <x:c r="A71" s="4" t="str">
        <x:v>华夏越秀高速REIT</x:v>
      </x:c>
      <x:c r="B71" s="4" t="str">
        <x:v>2024年度</x:v>
      </x:c>
      <x:c r="C71" s="4" t="str">
        <x:v>利润基础</x:v>
      </x:c>
      <x:c r="D71" s="4" t="str">
        <x:v>所得税费用</x:v>
      </x:c>
      <x:c r="E71" s="8" t="n">
        <x:v>9391200.05</x:v>
      </x:c>
      <x:c r="F71" s="4" t="str">
        <x:v>9,391,200.05</x:v>
      </x:c>
      <x:c r="G71" s="4" t="str">
        <x:v>华夏越秀高速REIT_2024年报_20250331.pdf，PDF第10页，3.3.2.1及附注</x:v>
      </x:c>
    </x:row>
    <x:row r="72" ht="42" customHeight="1">
      <x:c r="A72" s="4" t="str">
        <x:v>华夏越秀高速REIT</x:v>
      </x:c>
      <x:c r="B72" s="4" t="str">
        <x:v>2024年度</x:v>
      </x:c>
      <x:c r="C72" s="4" t="str">
        <x:v>中间披露</x:v>
      </x:c>
      <x:c r="D72" s="4" t="str">
        <x:v>税息折旧摊销前利润</x:v>
      </x:c>
      <x:c r="E72" s="8" t="n">
        <x:v>170471916.19</x:v>
      </x:c>
      <x:c r="F72" s="4" t="str">
        <x:v>170,471,916.19</x:v>
      </x:c>
      <x:c r="G72" s="4" t="str">
        <x:v>华夏越秀高速REIT_2024年报_20250331.pdf，PDF第10页，3.3.2.1及附注</x:v>
      </x:c>
    </x:row>
    <x:row r="73" ht="42" customHeight="1">
      <x:c r="A73" s="4" t="str">
        <x:v>华夏越秀高速REIT</x:v>
      </x:c>
      <x:c r="B73" s="4" t="str">
        <x:v>2024年度</x:v>
      </x:c>
      <x:c r="C73" s="4" t="str">
        <x:v>调增</x:v>
      </x:c>
      <x:c r="D73" s="4" t="str">
        <x:v>应收及应付项目变动</x:v>
      </x:c>
      <x:c r="E73" s="8" t="n">
        <x:v>8689438.81</x:v>
      </x:c>
      <x:c r="F73" s="4" t="str">
        <x:v>8,689,438.81</x:v>
      </x:c>
      <x:c r="G73" s="4" t="str">
        <x:v>华夏越秀高速REIT_2024年报_20250331.pdf，PDF第10页，3.3.2.1及附注</x:v>
      </x:c>
    </x:row>
    <x:row r="74" ht="42" customHeight="1">
      <x:c r="A74" s="4" t="str">
        <x:v>华夏越秀高速REIT</x:v>
      </x:c>
      <x:c r="B74" s="4" t="str">
        <x:v>2024年度</x:v>
      </x:c>
      <x:c r="C74" s="4" t="str">
        <x:v>调增</x:v>
      </x:c>
      <x:c r="D74" s="4" t="str">
        <x:v>其他可能的调整项</x:v>
      </x:c>
      <x:c r="E74" s="8" t="n">
        <x:v>10237371.8</x:v>
      </x:c>
      <x:c r="F74" s="4" t="str">
        <x:v>10,237,371.80</x:v>
      </x:c>
      <x:c r="G74" s="4" t="str">
        <x:v>华夏越秀高速REIT_2024年报_20250331.pdf，PDF第10页，3.3.2.1及附注</x:v>
      </x:c>
    </x:row>
    <x:row r="75" ht="42" customHeight="1">
      <x:c r="A75" s="4" t="str">
        <x:v>华夏越秀高速REIT</x:v>
      </x:c>
      <x:c r="B75" s="4" t="str">
        <x:v>2024年度</x:v>
      </x:c>
      <x:c r="C75" s="4" t="str">
        <x:v>调减</x:v>
      </x:c>
      <x:c r="D75" s="4" t="str">
        <x:v>当期购买基础设施项目等资本性支出</x:v>
      </x:c>
      <x:c r="E75" s="8" t="n">
        <x:v>-21706822.47</x:v>
      </x:c>
      <x:c r="F75" s="4" t="str">
        <x:v>-21,706,822.47</x:v>
      </x:c>
      <x:c r="G75" s="4" t="str">
        <x:v>华夏越秀高速REIT_2024年报_20250331.pdf，PDF第10页，3.3.2.1及附注</x:v>
      </x:c>
    </x:row>
    <x:row r="76" ht="42" customHeight="1">
      <x:c r="A76" s="4" t="str">
        <x:v>华夏越秀高速REIT</x:v>
      </x:c>
      <x:c r="B76" s="4" t="str">
        <x:v>2024年度</x:v>
      </x:c>
      <x:c r="C76" s="4" t="str">
        <x:v>调减</x:v>
      </x:c>
      <x:c r="D76" s="4" t="str">
        <x:v>支付的利息及所得税费用</x:v>
      </x:c>
      <x:c r="E76" s="8" t="n">
        <x:v>-21875395.09</x:v>
      </x:c>
      <x:c r="F76" s="4" t="str">
        <x:v>-21,875,395.09</x:v>
      </x:c>
      <x:c r="G76" s="4" t="str">
        <x:v>华夏越秀高速REIT_2024年报_20250331.pdf，PDF第10页，3.3.2.1及附注</x:v>
      </x:c>
    </x:row>
    <x:row r="77" ht="42" customHeight="1">
      <x:c r="A77" s="4" t="str">
        <x:v>华夏越秀高速REIT</x:v>
      </x:c>
      <x:c r="B77" s="4" t="str">
        <x:v>2024年度</x:v>
      </x:c>
      <x:c r="C77" s="4" t="str">
        <x:v>调减</x:v>
      </x:c>
      <x:c r="D77" s="4" t="str">
        <x:v>借款偿还调整</x:v>
      </x:c>
      <x:c r="E77" s="8" t="n">
        <x:v>-10500000</x:v>
      </x:c>
      <x:c r="F77" s="4" t="str">
        <x:v>-10,500,000.00</x:v>
      </x:c>
      <x:c r="G77" s="4" t="str">
        <x:v>华夏越秀高速REIT_2024年报_20250331.pdf，PDF第10页，3.3.2.1及附注</x:v>
      </x:c>
    </x:row>
    <x:row r="78" ht="42" customHeight="1">
      <x:c r="A78" s="4" t="str">
        <x:v>华夏越秀高速REIT</x:v>
      </x:c>
      <x:c r="B78" s="4" t="str">
        <x:v>2024年度</x:v>
      </x:c>
      <x:c r="C78" s="4" t="str">
        <x:v>调减</x:v>
      </x:c>
      <x:c r="D78" s="4" t="str">
        <x:v>未来合理相关支出预留</x:v>
      </x:c>
      <x:c r="E78" s="8" t="n">
        <x:v>-7358749.43</x:v>
      </x:c>
      <x:c r="F78" s="4" t="str">
        <x:v>-7,358,749.43</x:v>
      </x:c>
      <x:c r="G78" s="4" t="str">
        <x:v>华夏越秀高速REIT_2024年报_20250331.pdf，PDF第10页，3.3.2.1及附注</x:v>
      </x:c>
    </x:row>
    <x:row r="79" ht="42" customHeight="1">
      <x:c r="A79" s="4" t="str">
        <x:v>华夏越秀高速REIT</x:v>
      </x:c>
      <x:c r="B79" s="4" t="str">
        <x:v>2024年度</x:v>
      </x:c>
      <x:c r="C79" s="4" t="str">
        <x:v>最终披露</x:v>
      </x:c>
      <x:c r="D79" s="4" t="str">
        <x:v>可供分配金额</x:v>
      </x:c>
      <x:c r="E79" s="8" t="n">
        <x:v>127957759.81</x:v>
      </x:c>
      <x:c r="F79" s="4" t="str">
        <x:v>127,957,759.81</x:v>
      </x:c>
      <x:c r="G79" s="4" t="str">
        <x:v>华夏越秀高速REIT_2024年报_20250331.pdf，PDF第10页，3.3.2.1及附注</x:v>
      </x:c>
    </x:row>
    <x:row r="80" ht="42" customHeight="1">
      <x:c r="A80" s="4" t="str">
        <x:v>华夏越秀高速REIT</x:v>
      </x:c>
      <x:c r="B80" s="4" t="str">
        <x:v>2025上半年</x:v>
      </x:c>
      <x:c r="C80" s="4" t="str">
        <x:v>利润基础</x:v>
      </x:c>
      <x:c r="D80" s="4" t="str">
        <x:v>合并净利润</x:v>
      </x:c>
      <x:c r="E80" s="8" t="n">
        <x:v>15678564.01</x:v>
      </x:c>
      <x:c r="F80" s="4" t="str">
        <x:v>15,678,564.01</x:v>
      </x:c>
      <x:c r="G80" s="4" t="str">
        <x:v>华夏越秀高速REIT_2025中报_20250830.pdf，PDF第8页，3.3.2.1及附注</x:v>
      </x:c>
    </x:row>
    <x:row r="81" ht="42" customHeight="1">
      <x:c r="A81" s="4" t="str">
        <x:v>华夏越秀高速REIT</x:v>
      </x:c>
      <x:c r="B81" s="4" t="str">
        <x:v>2025上半年</x:v>
      </x:c>
      <x:c r="C81" s="4" t="str">
        <x:v>利润基础</x:v>
      </x:c>
      <x:c r="D81" s="4" t="str">
        <x:v>折旧和摊销</x:v>
      </x:c>
      <x:c r="E81" s="8" t="n">
        <x:v>60307625.72</x:v>
      </x:c>
      <x:c r="F81" s="4" t="str">
        <x:v>60,307,625.72</x:v>
      </x:c>
      <x:c r="G81" s="4" t="str">
        <x:v>华夏越秀高速REIT_2025中报_20250830.pdf，PDF第8页，3.3.2.1及附注</x:v>
      </x:c>
    </x:row>
    <x:row r="82" ht="42" customHeight="1">
      <x:c r="A82" s="4" t="str">
        <x:v>华夏越秀高速REIT</x:v>
      </x:c>
      <x:c r="B82" s="4" t="str">
        <x:v>2025上半年</x:v>
      </x:c>
      <x:c r="C82" s="4" t="str">
        <x:v>利润基础</x:v>
      </x:c>
      <x:c r="D82" s="4" t="str">
        <x:v>利息支出</x:v>
      </x:c>
      <x:c r="E82" s="8" t="n">
        <x:v>4332870.2</x:v>
      </x:c>
      <x:c r="F82" s="4" t="str">
        <x:v>4,332,870.20</x:v>
      </x:c>
      <x:c r="G82" s="4" t="str">
        <x:v>华夏越秀高速REIT_2025中报_20250830.pdf，PDF第9页，3.3.2.1及附注</x:v>
      </x:c>
    </x:row>
    <x:row r="83" ht="42" customHeight="1">
      <x:c r="A83" s="4" t="str">
        <x:v>华夏越秀高速REIT</x:v>
      </x:c>
      <x:c r="B83" s="4" t="str">
        <x:v>2025上半年</x:v>
      </x:c>
      <x:c r="C83" s="4" t="str">
        <x:v>利润基础</x:v>
      </x:c>
      <x:c r="D83" s="4" t="str">
        <x:v>所得税费用</x:v>
      </x:c>
      <x:c r="E83" s="8" t="n">
        <x:v>4950550.38</x:v>
      </x:c>
      <x:c r="F83" s="4" t="str">
        <x:v>4,950,550.38</x:v>
      </x:c>
      <x:c r="G83" s="4" t="str">
        <x:v>华夏越秀高速REIT_2025中报_20250830.pdf，PDF第9页，3.3.2.1及附注</x:v>
      </x:c>
    </x:row>
    <x:row r="84" ht="42" customHeight="1">
      <x:c r="A84" s="4" t="str">
        <x:v>华夏越秀高速REIT</x:v>
      </x:c>
      <x:c r="B84" s="4" t="str">
        <x:v>2025上半年</x:v>
      </x:c>
      <x:c r="C84" s="4" t="str">
        <x:v>中间披露</x:v>
      </x:c>
      <x:c r="D84" s="4" t="str">
        <x:v>税息折旧摊销前利润</x:v>
      </x:c>
      <x:c r="E84" s="8" t="n">
        <x:v>85269610.31</x:v>
      </x:c>
      <x:c r="F84" s="4" t="str">
        <x:v>85,269,610.31</x:v>
      </x:c>
      <x:c r="G84" s="4" t="str">
        <x:v>华夏越秀高速REIT_2025中报_20250830.pdf，PDF第9页，3.3.2.1及附注</x:v>
      </x:c>
    </x:row>
    <x:row r="85" ht="42" customHeight="1">
      <x:c r="A85" s="4" t="str">
        <x:v>华夏越秀高速REIT</x:v>
      </x:c>
      <x:c r="B85" s="4" t="str">
        <x:v>2025上半年</x:v>
      </x:c>
      <x:c r="C85" s="4" t="str">
        <x:v>调增</x:v>
      </x:c>
      <x:c r="D85" s="4" t="str">
        <x:v>应收和应付项目的变动</x:v>
      </x:c>
      <x:c r="E85" s="8" t="n">
        <x:v>10154851.17</x:v>
      </x:c>
      <x:c r="F85" s="4" t="str">
        <x:v>10,154,851.17</x:v>
      </x:c>
      <x:c r="G85" s="4" t="str">
        <x:v>华夏越秀高速REIT_2025中报_20250830.pdf，PDF第9页，3.3.2.1及附注</x:v>
      </x:c>
    </x:row>
    <x:row r="86" ht="42" customHeight="1">
      <x:c r="A86" s="4" t="str">
        <x:v>华夏越秀高速REIT</x:v>
      </x:c>
      <x:c r="B86" s="4" t="str">
        <x:v>2025上半年</x:v>
      </x:c>
      <x:c r="C86" s="4" t="str">
        <x:v>调增</x:v>
      </x:c>
      <x:c r="D86" s="4" t="str">
        <x:v>未来合理相关支出预留</x:v>
      </x:c>
      <x:c r="E86" s="8" t="n">
        <x:v>2797264.5</x:v>
      </x:c>
      <x:c r="F86" s="4" t="str">
        <x:v>2,797,264.50</x:v>
      </x:c>
      <x:c r="G86" s="4" t="str">
        <x:v>华夏越秀高速REIT_2025中报_20250830.pdf，PDF第9页，3.3.2.1及附注</x:v>
      </x:c>
    </x:row>
    <x:row r="87" ht="42" customHeight="1">
      <x:c r="A87" s="4" t="str">
        <x:v>华夏越秀高速REIT</x:v>
      </x:c>
      <x:c r="B87" s="4" t="str">
        <x:v>2025上半年</x:v>
      </x:c>
      <x:c r="C87" s="4" t="str">
        <x:v>调减</x:v>
      </x:c>
      <x:c r="D87" s="4" t="str">
        <x:v>当期购买基础设施项目等资本性支出</x:v>
      </x:c>
      <x:c r="E87" s="8" t="n">
        <x:v>-22231260.12</x:v>
      </x:c>
      <x:c r="F87" s="4" t="str">
        <x:v>-22,231,260.12</x:v>
      </x:c>
      <x:c r="G87" s="4" t="str">
        <x:v>华夏越秀高速REIT_2025中报_20250830.pdf，PDF第9页，3.3.2.1及附注</x:v>
      </x:c>
    </x:row>
    <x:row r="88" ht="42" customHeight="1">
      <x:c r="A88" s="4" t="str">
        <x:v>华夏越秀高速REIT</x:v>
      </x:c>
      <x:c r="B88" s="4" t="str">
        <x:v>2025上半年</x:v>
      </x:c>
      <x:c r="C88" s="4" t="str">
        <x:v>调减</x:v>
      </x:c>
      <x:c r="D88" s="4" t="str">
        <x:v>支付的利息及所得税费用</x:v>
      </x:c>
      <x:c r="E88" s="8" t="n">
        <x:v>-11701999.01</x:v>
      </x:c>
      <x:c r="F88" s="4" t="str">
        <x:v>-11,701,999.01</x:v>
      </x:c>
      <x:c r="G88" s="4" t="str">
        <x:v>华夏越秀高速REIT_2025中报_20250830.pdf，PDF第9页，3.3.2.1及附注</x:v>
      </x:c>
    </x:row>
    <x:row r="89" ht="42" customHeight="1">
      <x:c r="A89" s="4" t="str">
        <x:v>华夏越秀高速REIT</x:v>
      </x:c>
      <x:c r="B89" s="4" t="str">
        <x:v>2025上半年</x:v>
      </x:c>
      <x:c r="C89" s="4" t="str">
        <x:v>调减</x:v>
      </x:c>
      <x:c r="D89" s="4" t="str">
        <x:v>偿还借款支付的本金</x:v>
      </x:c>
      <x:c r="E89" s="8" t="n">
        <x:v>-8750000</x:v>
      </x:c>
      <x:c r="F89" s="4" t="str">
        <x:v>-8,750,000.00</x:v>
      </x:c>
      <x:c r="G89" s="4" t="str">
        <x:v>华夏越秀高速REIT_2025中报_20250830.pdf，PDF第9页，3.3.2.1及附注</x:v>
      </x:c>
    </x:row>
    <x:row r="90" ht="42" customHeight="1">
      <x:c r="A90" s="4" t="str">
        <x:v>华夏越秀高速REIT</x:v>
      </x:c>
      <x:c r="B90" s="4" t="str">
        <x:v>2025上半年</x:v>
      </x:c>
      <x:c r="C90" s="4" t="str">
        <x:v>最终披露</x:v>
      </x:c>
      <x:c r="D90" s="4" t="str">
        <x:v>可供分配金额</x:v>
      </x:c>
      <x:c r="E90" s="8" t="n">
        <x:v>55538466.85</x:v>
      </x:c>
      <x:c r="F90" s="4" t="str">
        <x:v>55,538,466.85</x:v>
      </x:c>
      <x:c r="G90" s="4" t="str">
        <x:v>华夏越秀高速REIT_2025中报_20250830.pdf，PDF第9页，3.3.2.1及附注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33" hidden="0" customWidth="1"/>
    <x:col min="4" max="4" width="33" hidden="0" customWidth="1"/>
    <x:col min="5" max="5" width="33" hidden="0" customWidth="1"/>
    <x:col min="6" max="6" width="33" hidden="0" customWidth="1"/>
    <x:col min="7" max="7" width="33" hidden="0" customWidth="1"/>
    <x:col min="8" max="8" width="33" hidden="0" customWidth="1"/>
    <x:col min="9" max="9" width="33" hidden="0" customWidth="1"/>
    <x:col min="10" max="10" width="95" hidden="0" customWidth="1"/>
  </x:cols>
  <x:sheetData>
    <x:row r="1" ht="36" customHeight="1">
      <x:c r="A1" s="6" t="str">
        <x:v>产品</x:v>
      </x:c>
      <x:c r="B1" s="6" t="str">
        <x:v>报告期</x:v>
      </x:c>
      <x:c r="C1" s="6" t="str">
        <x:v>EBITDA计算（元）</x:v>
      </x:c>
      <x:c r="D1" s="6" t="str">
        <x:v>EBITDA披露（元）</x:v>
      </x:c>
      <x:c r="E1" s="6" t="str">
        <x:v>中间残差</x:v>
      </x:c>
      <x:c r="F1" s="6" t="str">
        <x:v>调整合计（元）</x:v>
      </x:c>
      <x:c r="G1" s="6" t="str">
        <x:v>可分配计算（元）</x:v>
      </x:c>
      <x:c r="H1" s="6" t="str">
        <x:v>可分配披露（元）</x:v>
      </x:c>
      <x:c r="I1" s="6" t="str">
        <x:v>终值残差</x:v>
      </x:c>
      <x:c r="J1" s="6" t="str">
        <x:v>出处</x:v>
      </x:c>
    </x:row>
    <x:row r="2" ht="42" customHeight="1">
      <x:c r="A2" s="4" t="str">
        <x:v>华夏北京保障房REIT</x:v>
      </x:c>
      <x:c r="B2" s="4" t="str">
        <x:v>2024年度</x:v>
      </x:c>
      <x:c r="C2" s="8" t="n">
        <x:f>SUM('分配调节原表'!E2:E5)</x:f>
        <x:v>54876381.21</x:v>
      </x:c>
      <x:c r="D2" s="8" t="n">
        <x:f>'分配调节原表'!E6</x:f>
        <x:v>54876381.21</x:v>
      </x:c>
      <x:c r="E2" s="8" t="n">
        <x:f>C2-D2</x:f>
        <x:v>0</x:v>
      </x:c>
      <x:c r="F2" s="8" t="n">
        <x:f>SUM('分配调节原表'!E7:E12)</x:f>
        <x:v>-1027776.9299999998</x:v>
      </x:c>
      <x:c r="G2" s="8" t="n">
        <x:f>C2+F2</x:f>
        <x:v>53848604.28</x:v>
      </x:c>
      <x:c r="H2" s="8" t="n">
        <x:f>'分配调节原表'!E13</x:f>
        <x:v>53848604.28</x:v>
      </x:c>
      <x:c r="I2" s="8" t="n">
        <x:f>G2-H2</x:f>
        <x:v>0</x:v>
      </x:c>
      <x:c r="J2" s="4" t="str">
        <x:v>华夏北京保障房REIT_2024年报_20250331.pdf，3.3.2.1；原表归属与实际符号并存</x:v>
      </x:c>
    </x:row>
    <x:row r="3" ht="42" customHeight="1">
      <x:c r="A3" s="4" t="str">
        <x:v>华夏北京保障房REIT</x:v>
      </x:c>
      <x:c r="B3" s="4" t="str">
        <x:v>2025上半年</x:v>
      </x:c>
      <x:c r="C3" s="8" t="n">
        <x:f>SUM('分配调节原表'!E14:E17)</x:f>
        <x:v>30112949.05</x:v>
      </x:c>
      <x:c r="D3" s="8" t="n">
        <x:f>'分配调节原表'!E18</x:f>
        <x:v>30112949.05</x:v>
      </x:c>
      <x:c r="E3" s="8" t="n">
        <x:f>C3-D3</x:f>
        <x:v>0</x:v>
      </x:c>
      <x:c r="F3" s="8" t="n">
        <x:f>SUM('分配调节原表'!E19:E24)</x:f>
        <x:v>-1006255.660000015</x:v>
      </x:c>
      <x:c r="G3" s="8" t="n">
        <x:f>C3+F3</x:f>
        <x:v>29106693.389999986</x:v>
      </x:c>
      <x:c r="H3" s="8" t="n">
        <x:f>'分配调节原表'!E25</x:f>
        <x:v>29106693.39</x:v>
      </x:c>
      <x:c r="I3" s="8" t="n">
        <x:f>G3-H3</x:f>
        <x:v>-1.4901161193847656e-8</x:v>
      </x:c>
      <x:c r="J3" s="4" t="str">
        <x:v>华夏北京保障房REIT_2025中报_20250830.pdf，3.3.2.1；原表归属与实际符号并存</x:v>
      </x:c>
    </x:row>
    <x:row r="4" ht="42" customHeight="1">
      <x:c r="A4" s="4" t="str">
        <x:v>华夏华润商业REIT</x:v>
      </x:c>
      <x:c r="B4" s="4" t="str">
        <x:v>2024年度</x:v>
      </x:c>
      <x:c r="C4" s="8" t="n">
        <x:f>SUM('分配调节原表'!E26:E29)</x:f>
        <x:v>351206069.03</x:v>
      </x:c>
      <x:c r="D4" s="8" t="n">
        <x:f>'分配调节原表'!E30</x:f>
        <x:v>351206069.03</x:v>
      </x:c>
      <x:c r="E4" s="8" t="n">
        <x:f>C4-D4</x:f>
        <x:v>0</x:v>
      </x:c>
      <x:c r="F4" s="8" t="n">
        <x:f>SUM('分配调节原表'!E31:E36)</x:f>
        <x:v>-35860197.71000016</x:v>
      </x:c>
      <x:c r="G4" s="8" t="n">
        <x:f>C4+F4</x:f>
        <x:v>315345871.3199998</x:v>
      </x:c>
      <x:c r="H4" s="8" t="n">
        <x:f>'分配调节原表'!E37</x:f>
        <x:v>315345871.32</x:v>
      </x:c>
      <x:c r="I4" s="8" t="n">
        <x:f>G4-H4</x:f>
        <x:v>-1.7881393432617188e-7</x:v>
      </x:c>
      <x:c r="J4" s="4" t="str">
        <x:v>华夏华润商业REIT_2024年报_20250331.pdf，3.3.2.1；原表归属与实际符号并存</x:v>
      </x:c>
    </x:row>
    <x:row r="5" ht="42" customHeight="1">
      <x:c r="A5" s="4" t="str">
        <x:v>华夏华润商业REIT</x:v>
      </x:c>
      <x:c r="B5" s="4" t="str">
        <x:v>2025上半年</x:v>
      </x:c>
      <x:c r="C5" s="8" t="n">
        <x:f>SUM('分配调节原表'!E38:E41)</x:f>
        <x:v>202641261.17999998</x:v>
      </x:c>
      <x:c r="D5" s="8" t="n">
        <x:f>'分配调节原表'!E42</x:f>
        <x:v>202641261.18</x:v>
      </x:c>
      <x:c r="E5" s="8" t="n">
        <x:f>C5-D5</x:f>
        <x:v>-2.9802322387695312e-8</x:v>
      </x:c>
      <x:c r="F5" s="8" t="n">
        <x:f>SUM('分配调节原表'!E43:E48)</x:f>
        <x:v>-23214693.379999995</x:v>
      </x:c>
      <x:c r="G5" s="8" t="n">
        <x:f>C5+F5</x:f>
        <x:v>179426567.79999998</x:v>
      </x:c>
      <x:c r="H5" s="8" t="n">
        <x:f>'分配调节原表'!E49</x:f>
        <x:v>179426567.8</x:v>
      </x:c>
      <x:c r="I5" s="8" t="n">
        <x:f>G5-H5</x:f>
        <x:v>-2.9802322387695312e-8</x:v>
      </x:c>
      <x:c r="J5" s="4" t="str">
        <x:v>华夏华润商业REIT_2025中报_20250830.pdf，3.3.2.1；原表归属与实际符号并存</x:v>
      </x:c>
    </x:row>
    <x:row r="6" ht="42" customHeight="1">
      <x:c r="A6" s="4" t="str">
        <x:v>华夏合肥高新REIT</x:v>
      </x:c>
      <x:c r="B6" s="4" t="str">
        <x:v>2024年度</x:v>
      </x:c>
      <x:c r="C6" s="8" t="n">
        <x:f>SUM('分配调节原表'!E50:E53)</x:f>
        <x:v>55662522.44</x:v>
      </x:c>
      <x:c r="D6" s="8" t="n">
        <x:f>'分配调节原表'!E54</x:f>
        <x:v>55662522.44</x:v>
      </x:c>
      <x:c r="E6" s="8" t="n">
        <x:f>C6-D6</x:f>
        <x:v>0</x:v>
      </x:c>
      <x:c r="F6" s="8" t="n">
        <x:f>SUM('分配调节原表'!E55:E57)</x:f>
        <x:v>19991408.150000002</x:v>
      </x:c>
      <x:c r="G6" s="8" t="n">
        <x:f>C6+F6</x:f>
        <x:v>75653930.59</x:v>
      </x:c>
      <x:c r="H6" s="8" t="n">
        <x:f>'分配调节原表'!E58</x:f>
        <x:v>75653930.59</x:v>
      </x:c>
      <x:c r="I6" s="8" t="n">
        <x:f>G6-H6</x:f>
        <x:v>0</x:v>
      </x:c>
      <x:c r="J6" s="4" t="str">
        <x:v>华夏合肥高新REIT_2024年报_20250331.pdf，3.3.2.1；原表归属与实际符号并存</x:v>
      </x:c>
    </x:row>
    <x:row r="7" ht="42" customHeight="1">
      <x:c r="A7" s="4" t="str">
        <x:v>华夏合肥高新REIT</x:v>
      </x:c>
      <x:c r="B7" s="4" t="str">
        <x:v>2025上半年</x:v>
      </x:c>
      <x:c r="C7" s="8" t="n">
        <x:f>SUM('分配调节原表'!E59:E62)</x:f>
        <x:v>26344579.06</x:v>
      </x:c>
      <x:c r="D7" s="8" t="n">
        <x:f>'分配调节原表'!E63</x:f>
        <x:v>26344579.06</x:v>
      </x:c>
      <x:c r="E7" s="8" t="n">
        <x:f>C7-D7</x:f>
        <x:v>0</x:v>
      </x:c>
      <x:c r="F7" s="8" t="n">
        <x:f>SUM('分配调节原表'!E64:E66)</x:f>
        <x:v>7867964.05</x:v>
      </x:c>
      <x:c r="G7" s="8" t="n">
        <x:f>C7+F7</x:f>
        <x:v>34212543.11</x:v>
      </x:c>
      <x:c r="H7" s="8" t="n">
        <x:f>'分配调节原表'!E67</x:f>
        <x:v>34212543.11</x:v>
      </x:c>
      <x:c r="I7" s="8" t="n">
        <x:f>G7-H7</x:f>
        <x:v>0</x:v>
      </x:c>
      <x:c r="J7" s="4" t="str">
        <x:v>华夏合肥高新REIT_2025中报_20250830.pdf，3.3.2.1；原表归属与实际符号并存</x:v>
      </x:c>
    </x:row>
    <x:row r="8" ht="42" customHeight="1">
      <x:c r="A8" s="4" t="str">
        <x:v>华夏越秀高速REIT</x:v>
      </x:c>
      <x:c r="B8" s="4" t="str">
        <x:v>2024年度</x:v>
      </x:c>
      <x:c r="C8" s="8" t="n">
        <x:f>SUM('分配调节原表'!E68:E71)</x:f>
        <x:v>170471916.19000003</x:v>
      </x:c>
      <x:c r="D8" s="8" t="n">
        <x:f>'分配调节原表'!E72</x:f>
        <x:v>170471916.19</x:v>
      </x:c>
      <x:c r="E8" s="8" t="n">
        <x:f>C8-D8</x:f>
        <x:v>2.9802322387695312e-8</x:v>
      </x:c>
      <x:c r="F8" s="8" t="n">
        <x:f>SUM('分配调节原表'!E73:E78)</x:f>
        <x:v>-42514156.38</x:v>
      </x:c>
      <x:c r="G8" s="8" t="n">
        <x:f>C8+F8</x:f>
        <x:v>127957759.81000003</x:v>
      </x:c>
      <x:c r="H8" s="8" t="n">
        <x:f>'分配调节原表'!E79</x:f>
        <x:v>127957759.81</x:v>
      </x:c>
      <x:c r="I8" s="8" t="n">
        <x:f>G8-H8</x:f>
        <x:v>2.9802322387695312e-8</x:v>
      </x:c>
      <x:c r="J8" s="4" t="str">
        <x:v>华夏越秀高速REIT_2024年报_20250331.pdf，3.3.2.1；原表归属与实际符号并存</x:v>
      </x:c>
    </x:row>
    <x:row r="9" ht="42" customHeight="1">
      <x:c r="A9" s="4" t="str">
        <x:v>华夏越秀高速REIT</x:v>
      </x:c>
      <x:c r="B9" s="4" t="str">
        <x:v>2025上半年</x:v>
      </x:c>
      <x:c r="C9" s="8" t="n">
        <x:f>SUM('分配调节原表'!E80:E83)</x:f>
        <x:v>85269610.31</x:v>
      </x:c>
      <x:c r="D9" s="8" t="n">
        <x:f>'分配调节原表'!E84</x:f>
        <x:v>85269610.31</x:v>
      </x:c>
      <x:c r="E9" s="8" t="n">
        <x:f>C9-D9</x:f>
        <x:v>0</x:v>
      </x:c>
      <x:c r="F9" s="8" t="n">
        <x:f>SUM('分配调节原表'!E85:E89)</x:f>
        <x:v>-29731143.46</x:v>
      </x:c>
      <x:c r="G9" s="8" t="n">
        <x:f>C9+F9</x:f>
        <x:v>55538466.85</x:v>
      </x:c>
      <x:c r="H9" s="8" t="n">
        <x:f>'分配调节原表'!E90</x:f>
        <x:v>55538466.85</x:v>
      </x:c>
      <x:c r="I9" s="8" t="n">
        <x:f>G9-H9</x:f>
        <x:v>0</x:v>
      </x:c>
      <x:c r="J9" s="4" t="str">
        <x:v>华夏越秀高速REIT_2025中报_20250830.pdf，3.3.2.1；原表归属与实际符号并存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2" hidden="0" customWidth="1"/>
    <x:col min="9" max="9" width="110" hidden="0" customWidth="1"/>
    <x:col min="10" max="10" width="100" hidden="0" customWidth="1"/>
    <x:col min="11" max="11" width="36" hidden="0" customWidth="1"/>
    <x:col min="12" max="12" width="36" hidden="0" customWidth="1"/>
  </x:cols>
  <x:sheetData>
    <x:row r="1" ht="36" customHeight="1">
      <x:c r="A1" s="6" t="str">
        <x:v>产品</x:v>
      </x:c>
      <x:c r="B1" s="6" t="str">
        <x:v>报告期</x:v>
      </x:c>
      <x:c r="C1" s="6" t="str">
        <x:v>可供分配金额（元）</x:v>
      </x:c>
      <x:c r="D1" s="6" t="str">
        <x:v>原单位可分配（元）</x:v>
      </x:c>
      <x:c r="E1" s="6" t="str">
        <x:v>实际分配现金（元）</x:v>
      </x:c>
      <x:c r="F1" s="6" t="str">
        <x:v>原单位实际分配（元）</x:v>
      </x:c>
      <x:c r="G1" s="6" t="str">
        <x:v>支付减本期可分配</x:v>
      </x:c>
      <x:c r="H1" s="6" t="str">
        <x:v>同期支付/可分配</x:v>
      </x:c>
      <x:c r="I1" s="6" t="str">
        <x:v>适用与解释</x:v>
      </x:c>
      <x:c r="J1" s="6" t="str">
        <x:v>出处</x:v>
      </x:c>
      <x:c r="K1" s="6" t="str">
        <x:v>逐笔本期合计（元）</x:v>
      </x:c>
      <x:c r="L1" s="6" t="str">
        <x:v>逐笔合计残差（元）</x:v>
      </x:c>
    </x:row>
    <x:row r="2" ht="42" customHeight="1">
      <x:c r="A2" s="4" t="str">
        <x:v>华夏北京保障房REIT</x:v>
      </x:c>
      <x:c r="B2" s="4" t="str">
        <x:v>2024年度</x:v>
      </x:c>
      <x:c r="C2" s="8" t="n">
        <x:f>'可分配复算'!H2</x:f>
        <x:v>53848604.28</x:v>
      </x:c>
      <x:c r="D2" s="9" t="n">
        <x:v>0.1077</x:v>
      </x:c>
      <x:c r="E2" s="8" t="n">
        <x:f>'现金流原表'!F35</x:f>
        <x:v>54360053.69</x:v>
      </x:c>
      <x:c r="F2" s="9" t="n">
        <x:v>0.1087</x:v>
      </x:c>
      <x:c r="G2" s="8" t="n">
        <x:f>E2-C2</x:f>
        <x:v>511449.4099999964</x:v>
      </x:c>
      <x:c r="H2" s="10" t="n">
        <x:f>E2/C2</x:f>
        <x:v>1.0094979139541032</x:v>
      </x:c>
      <x:c r="I2" s="4" t="str">
        <x:v>金额与单位数沿用原表；本期支付可能覆盖此前收益期间，比例不直接认定年度执行率</x:v>
      </x:c>
      <x:c r="J2" s="4" t="str">
        <x:v>华夏北京保障房REIT_2024年报_20250331.pdf，3.3.1.1、3.3.1.2及收益分配/期后事项附注</x:v>
      </x:c>
      <x:c r="K2" s="8" t="n">
        <x:f>SUMIFS('分派期间'!F2:F24,'分派期间'!A2:A24,A2,'分派期间'!C2:C24,B2)</x:f>
        <x:v>54360053.69</x:v>
      </x:c>
      <x:c r="L2" s="8" t="n">
        <x:f>K2-E2</x:f>
        <x:v>0</x:v>
      </x:c>
    </x:row>
    <x:row r="3" ht="42" customHeight="1">
      <x:c r="A3" s="4" t="str">
        <x:v>华夏北京保障房REIT</x:v>
      </x:c>
      <x:c r="B3" s="4" t="str">
        <x:v>2025上半年</x:v>
      </x:c>
      <x:c r="C3" s="8" t="n">
        <x:f>'可分配复算'!H3</x:f>
        <x:v>29106693.39</x:v>
      </x:c>
      <x:c r="D3" s="9" t="n">
        <x:v>0.0402</x:v>
      </x:c>
      <x:c r="E3" s="8" t="n">
        <x:f>'现金流原表'!F105</x:f>
        <x:v>27020015.85</x:v>
      </x:c>
      <x:c r="F3" s="9" t="n">
        <x:v>0.054</x:v>
      </x:c>
      <x:c r="G3" s="8" t="n">
        <x:f>E3-C3</x:f>
        <x:v>-2086677.539999999</x:v>
      </x:c>
      <x:c r="H3" s="10" t="n">
        <x:f>E3/C3</x:f>
        <x:v>0.9283093578497341</x:v>
      </x:c>
      <x:c r="I3" s="4" t="str">
        <x:v>北京2025H1原披露单位可供分配用扩募后724,218,009份，实际分派单位数0.0540按当笔分派口径；不统一除期末份额</x:v>
      </x:c>
      <x:c r="J3" s="4" t="str">
        <x:v>华夏北京保障房REIT_2025中报_20250830.pdf，3.3.1.1、3.3.1.2及收益分配/期后事项附注</x:v>
      </x:c>
      <x:c r="K3" s="8" t="n">
        <x:f>SUMIFS('分派期间'!F2:F24,'分派期间'!A2:A24,A3,'分派期间'!C2:C24,B3)</x:f>
        <x:v>27020015.85</x:v>
      </x:c>
      <x:c r="L3" s="8" t="n">
        <x:f>K3-E3</x:f>
        <x:v>0</x:v>
      </x:c>
    </x:row>
    <x:row r="4" ht="42" customHeight="1">
      <x:c r="A4" s="4" t="str">
        <x:v>华夏华润商业REIT</x:v>
      </x:c>
      <x:c r="B4" s="4" t="str">
        <x:v>2024年度</x:v>
      </x:c>
      <x:c r="C4" s="8" t="n">
        <x:f>'可分配复算'!H4</x:f>
        <x:v>315345871.32</x:v>
      </x:c>
      <x:c r="D4" s="9" t="n">
        <x:v>0.3153</x:v>
      </x:c>
      <x:c r="E4" s="8" t="n">
        <x:f>'现金流原表'!F175</x:f>
        <x:v>226659992.42</x:v>
      </x:c>
      <x:c r="F4" s="9" t="n">
        <x:v>0.2267</x:v>
      </x:c>
      <x:c r="G4" s="8" t="n">
        <x:f>E4-C4</x:f>
        <x:v>-88685878.9</x:v>
      </x:c>
      <x:c r="H4" s="10" t="n">
        <x:f>E4/C4</x:f>
        <x:v>0.7187663230573733</x:v>
      </x:c>
      <x:c r="I4" s="4" t="str">
        <x:v>金额与单位数沿用原表；本期支付可能覆盖此前收益期间，比例不直接认定年度执行率</x:v>
      </x:c>
      <x:c r="J4" s="4" t="str">
        <x:v>华夏华润商业REIT_2024年报_20250331.pdf，3.3.1.1、3.3.1.2及收益分配/期后事项附注</x:v>
      </x:c>
      <x:c r="K4" s="8" t="n">
        <x:f>SUMIFS('分派期间'!F2:F24,'分派期间'!A2:A24,A4,'分派期间'!C2:C24,B4)</x:f>
        <x:v>226659992.42000002</x:v>
      </x:c>
      <x:c r="L4" s="8" t="n">
        <x:f>K4-E4</x:f>
        <x:v>2.9802322387695312e-8</x:v>
      </x:c>
    </x:row>
    <x:row r="5" ht="42" customHeight="1">
      <x:c r="A5" s="4" t="str">
        <x:v>华夏华润商业REIT</x:v>
      </x:c>
      <x:c r="B5" s="4" t="str">
        <x:v>2025上半年</x:v>
      </x:c>
      <x:c r="C5" s="8" t="n">
        <x:f>'可分配复算'!H5</x:f>
        <x:v>179426567.8</x:v>
      </x:c>
      <x:c r="D5" s="9" t="n">
        <x:v>0.1794</x:v>
      </x:c>
      <x:c r="E5" s="8" t="n">
        <x:f>'现金流原表'!F245</x:f>
        <x:v>176939993.37</x:v>
      </x:c>
      <x:c r="F5" s="9" t="n">
        <x:v>0.1769</x:v>
      </x:c>
      <x:c r="G5" s="8" t="n">
        <x:f>E5-C5</x:f>
        <x:v>-2486574.430000007</x:v>
      </x:c>
      <x:c r="H5" s="10" t="n">
        <x:f>E5/C5</x:f>
        <x:v>0.9861415482640693</x:v>
      </x:c>
      <x:c r="I5" s="4" t="str">
        <x:v>金额与单位数沿用原表；本期支付可能覆盖此前收益期间，比例不直接认定年度执行率</x:v>
      </x:c>
      <x:c r="J5" s="4" t="str">
        <x:v>华夏华润商业REIT_2025中报_20250830.pdf，3.3.1.1、3.3.1.2及收益分配/期后事项附注</x:v>
      </x:c>
      <x:c r="K5" s="8" t="n">
        <x:f>SUMIFS('分派期间'!F2:F24,'分派期间'!A2:A24,A5,'分派期间'!C2:C24,B5)</x:f>
        <x:v>176939993.37</x:v>
      </x:c>
      <x:c r="L5" s="8" t="n">
        <x:f>K5-E5</x:f>
        <x:v>0</x:v>
      </x:c>
    </x:row>
    <x:row r="6" ht="42" customHeight="1">
      <x:c r="A6" s="4" t="str">
        <x:v>华夏合肥高新REIT</x:v>
      </x:c>
      <x:c r="B6" s="4" t="str">
        <x:v>2024年度</x:v>
      </x:c>
      <x:c r="C6" s="8" t="n">
        <x:f>'可分配复算'!H6</x:f>
        <x:v>75653930.59</x:v>
      </x:c>
      <x:c r="D6" s="9" t="n">
        <x:v>0.1081</x:v>
      </x:c>
      <x:c r="E6" s="8" t="n">
        <x:f>'现金流原表'!F315</x:f>
        <x:v>95171545.28</x:v>
      </x:c>
      <x:c r="F6" s="9" t="n">
        <x:v>0.136</x:v>
      </x:c>
      <x:c r="G6" s="8" t="n">
        <x:f>E6-C6</x:f>
        <x:v>19517614.689999998</x:v>
      </x:c>
      <x:c r="H6" s="10" t="n">
        <x:f>E6/C6</x:f>
        <x:v>1.2579854680092437</x:v>
      </x:c>
      <x:c r="I6" s="4" t="str">
        <x:v>金额与单位数沿用原表；本期支付可能覆盖此前收益期间，比例不直接认定年度执行率</x:v>
      </x:c>
      <x:c r="J6" s="4" t="str">
        <x:v>华夏合肥高新REIT_2024年报_20250331.pdf，3.3.1.1、3.3.1.2及收益分配/期后事项附注</x:v>
      </x:c>
      <x:c r="K6" s="8" t="n">
        <x:f>SUMIFS('分派期间'!F2:F24,'分派期间'!A2:A24,A6,'分派期间'!C2:C24,B6)</x:f>
        <x:v>95171545.27999999</x:v>
      </x:c>
      <x:c r="L6" s="8" t="n">
        <x:f>K6-E6</x:f>
        <x:v>-1.4901161193847656e-8</x:v>
      </x:c>
    </x:row>
    <x:row r="7" ht="42" customHeight="1">
      <x:c r="A7" s="4" t="str">
        <x:v>华夏合肥高新REIT</x:v>
      </x:c>
      <x:c r="B7" s="4" t="str">
        <x:v>2025上半年</x:v>
      </x:c>
      <x:c r="C7" s="8" t="n">
        <x:f>'可分配复算'!H7</x:f>
        <x:v>34212543.11</x:v>
      </x:c>
      <x:c r="D7" s="9" t="n">
        <x:v>0.0489</x:v>
      </x:c>
      <x:c r="E7" s="8" t="n">
        <x:f>'现金流原表'!F385</x:f>
        <x:v>36028853.55</x:v>
      </x:c>
      <x:c r="F7" s="9" t="n">
        <x:v>0.0515</x:v>
      </x:c>
      <x:c r="G7" s="8" t="n">
        <x:f>E7-C7</x:f>
        <x:v>1816310.4399999976</x:v>
      </x:c>
      <x:c r="H7" s="10" t="n">
        <x:f>E7/C7</x:f>
        <x:v>1.0530890215953899</x:v>
      </x:c>
      <x:c r="I7" s="4" t="str">
        <x:v>金额与单位数沿用原表；本期支付可能覆盖此前收益期间，比例不直接认定年度执行率</x:v>
      </x:c>
      <x:c r="J7" s="4" t="str">
        <x:v>华夏合肥高新REIT_2025中报_20250830.pdf，3.3.1.1、3.3.1.2及收益分配/期后事项附注</x:v>
      </x:c>
      <x:c r="K7" s="8" t="n">
        <x:f>SUMIFS('分派期间'!F2:F24,'分派期间'!A2:A24,A7,'分派期间'!C2:C24,B7)</x:f>
        <x:v>36028853.55</x:v>
      </x:c>
      <x:c r="L7" s="8" t="n">
        <x:f>K7-E7</x:f>
        <x:v>0</x:v>
      </x:c>
    </x:row>
    <x:row r="8" ht="42" customHeight="1">
      <x:c r="A8" s="4" t="str">
        <x:v>华夏越秀高速REIT</x:v>
      </x:c>
      <x:c r="B8" s="4" t="str">
        <x:v>2024年度</x:v>
      </x:c>
      <x:c r="C8" s="8" t="n">
        <x:f>'可分配复算'!H8</x:f>
        <x:v>127957759.81</x:v>
      </x:c>
      <x:c r="D8" s="9" t="n">
        <x:v>0.4265</x:v>
      </x:c>
      <x:c r="E8" s="8" t="n">
        <x:f>'现金流原表'!F455</x:f>
        <x:v>142586503.55</x:v>
      </x:c>
      <x:c r="F8" s="9" t="n">
        <x:v>0.4753</x:v>
      </x:c>
      <x:c r="G8" s="8" t="n">
        <x:f>E8-C8</x:f>
        <x:v>14628743.74000001</x:v>
      </x:c>
      <x:c r="H8" s="10" t="n">
        <x:f>E8/C8</x:f>
        <x:v>1.114324787818431</x:v>
      </x:c>
      <x:c r="I8" s="4" t="str">
        <x:v>金额与单位数沿用原表；本期支付可能覆盖此前收益期间，比例不直接认定年度执行率</x:v>
      </x:c>
      <x:c r="J8" s="4" t="str">
        <x:v>华夏越秀高速REIT_2024年报_20250331.pdf，3.3.1.1、3.3.1.2及收益分配/期后事项附注</x:v>
      </x:c>
      <x:c r="K8" s="8" t="n">
        <x:f>SUMIFS('分派期间'!F2:F24,'分派期间'!A2:A24,A8,'分派期间'!C2:C24,B8)</x:f>
        <x:v>142586503.55</x:v>
      </x:c>
      <x:c r="L8" s="8" t="n">
        <x:f>K8-E8</x:f>
        <x:v>0</x:v>
      </x:c>
    </x:row>
    <x:row r="9" ht="42" customHeight="1">
      <x:c r="A9" s="4" t="str">
        <x:v>华夏越秀高速REIT</x:v>
      </x:c>
      <x:c r="B9" s="4" t="str">
        <x:v>2025上半年</x:v>
      </x:c>
      <x:c r="C9" s="8" t="n">
        <x:f>'可分配复算'!H9</x:f>
        <x:v>55538466.85</x:v>
      </x:c>
      <x:c r="D9" s="9" t="n">
        <x:v>0.1851</x:v>
      </x:c>
      <x:c r="E9" s="8" t="n">
        <x:f>'现金流原表'!F525</x:f>
        <x:v>24605900.74</x:v>
      </x:c>
      <x:c r="F9" s="9" t="n">
        <x:v>0.082</x:v>
      </x:c>
      <x:c r="G9" s="8" t="n">
        <x:f>E9-C9</x:f>
        <x:v>-30932566.110000003</x:v>
      </x:c>
      <x:c r="H9" s="10" t="n">
        <x:f>E9/C9</x:f>
        <x:v>0.4430424917284154</x:v>
      </x:c>
      <x:c r="I9" s="4" t="str">
        <x:v>金额与单位数沿用原表；本期支付可能覆盖此前收益期间，比例不直接认定年度执行率</x:v>
      </x:c>
      <x:c r="J9" s="4" t="str">
        <x:v>华夏越秀高速REIT_2025中报_20250830.pdf，3.3.1.1、3.3.1.2及收益分配/期后事项附注</x:v>
      </x:c>
      <x:c r="K9" s="8" t="n">
        <x:f>SUMIFS('分派期间'!F2:F24,'分派期间'!A2:A24,A9,'分派期间'!C2:C24,B9)</x:f>
        <x:v>24605900.74</x:v>
      </x:c>
      <x:c r="L9" s="8" t="n">
        <x:f>K9-E9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28" hidden="0" customWidth="1"/>
    <x:col min="4" max="4" width="60" hidden="0" customWidth="1"/>
    <x:col min="5" max="5" width="35" hidden="0" customWidth="1"/>
    <x:col min="6" max="6" width="35" hidden="0" customWidth="1"/>
    <x:col min="7" max="7" width="7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110" hidden="0" customWidth="1"/>
    <x:col min="13" max="13" width="105" hidden="0" customWidth="1"/>
  </x:cols>
  <x:sheetData>
    <x:row r="1" ht="36" customHeight="1">
      <x:c r="A1" s="6" t="str">
        <x:v>产品</x:v>
      </x:c>
      <x:c r="B1" s="6" t="str">
        <x:v>权益登记日</x:v>
      </x:c>
      <x:c r="C1" s="6" t="str">
        <x:v>支付所在报告期间</x:v>
      </x:c>
      <x:c r="D1" s="6" t="str">
        <x:v>披露状态</x:v>
      </x:c>
      <x:c r="E1" s="6" t="str">
        <x:v>每10份分红（元）</x:v>
      </x:c>
      <x:c r="F1" s="6" t="str">
        <x:v>分配金额（元）</x:v>
      </x:c>
      <x:c r="G1" s="6" t="str">
        <x:v>收益覆盖期间</x:v>
      </x:c>
      <x:c r="H1" s="6" t="str">
        <x:v>覆盖期可供额（元）</x:v>
      </x:c>
      <x:c r="I1" s="6" t="str">
        <x:v>前期未分配（元）</x:v>
      </x:c>
      <x:c r="J1" s="6" t="str">
        <x:v>当笔基准可供额（元）</x:v>
      </x:c>
      <x:c r="K1" s="6" t="str">
        <x:v>当笔未派残差（元）</x:v>
      </x:c>
      <x:c r="L1" s="6" t="str">
        <x:v>跨期使用</x:v>
      </x:c>
      <x:c r="M1" s="6" t="str">
        <x:v>出处</x:v>
      </x:c>
    </x:row>
    <x:row r="2" ht="32" customHeight="1">
      <x:c r="A2" s="4" t="str">
        <x:v>华夏北京保障房REIT</x:v>
      </x:c>
      <x:c r="B2" s="4" t="str">
        <x:v>2024-04-23</x:v>
      </x:c>
      <x:c r="C2" s="4" t="str">
        <x:v>2024年度</x:v>
      </x:c>
      <x:c r="D2" s="4" t="str">
        <x:v>定期报告本期收益分配表已列</x:v>
      </x:c>
      <x:c r="E2" s="9" t="n">
        <x:v>0.5506</x:v>
      </x:c>
      <x:c r="F2" s="8" t="n">
        <x:v>27530029.16</x:v>
      </x:c>
      <x:c r="G2" s="4" t="str">
        <x:v>2023-07-01至2023-12-31</x:v>
      </x:c>
      <x:c r="H2" s="8" t="n">
        <x:v>27533226.5</x:v>
      </x:c>
      <x:c r="I2" s="8" t="n">
        <x:v>1413.61</x:v>
      </x:c>
      <x:c r="J2" s="8" t="n">
        <x:f>H2+I2</x:f>
        <x:v>27534640.11</x:v>
      </x:c>
      <x:c r="K2" s="8" t="n">
        <x:f>J2-F2</x:f>
        <x:v>4610.949999999255</x:v>
      </x:c>
      <x:c r="L2" s="4" t="str">
        <x:v>2024报告期内</x:v>
      </x:c>
      <x:c r="M2" s="4" t="str">
        <x:v>华夏北京保障房REIT_2024年报_20250331.pdf；2024年报PDF96—97，收益分配附注</x:v>
      </x:c>
    </x:row>
    <x:row r="3" ht="32" customHeight="1">
      <x:c r="A3" s="4" t="str">
        <x:v>华夏北京保障房REIT</x:v>
      </x:c>
      <x:c r="B3" s="4" t="str">
        <x:v>2024-09-12</x:v>
      </x:c>
      <x:c r="C3" s="4" t="str">
        <x:v>2024年度</x:v>
      </x:c>
      <x:c r="D3" s="4" t="str">
        <x:v>定期报告本期收益分配表已列</x:v>
      </x:c>
      <x:c r="E3" s="9" t="n">
        <x:v>0.5366</x:v>
      </x:c>
      <x:c r="F3" s="8" t="n">
        <x:v>26830024.53</x:v>
      </x:c>
      <x:c r="G3" s="4" t="str">
        <x:v>2024-01-01至2024-06-30</x:v>
      </x:c>
      <x:c r="H3" s="8" t="n">
        <x:v>26825914.33</x:v>
      </x:c>
      <x:c r="I3" s="8" t="n">
        <x:v>4610.95</x:v>
      </x:c>
      <x:c r="J3" s="8" t="n">
        <x:f>H3+I3</x:f>
        <x:v>26830525.279999997</x:v>
      </x:c>
      <x:c r="K3" s="8" t="n">
        <x:f>J3-F3</x:f>
        <x:v>500.7499999962747</x:v>
      </x:c>
      <x:c r="L3" s="4" t="str">
        <x:v>2024报告期内</x:v>
      </x:c>
      <x:c r="M3" s="4" t="str">
        <x:v>华夏北京保障房REIT_2024年报_20250331.pdf；2024年报PDF96—97，收益分配附注</x:v>
      </x:c>
    </x:row>
    <x:row r="4" ht="32" customHeight="1">
      <x:c r="A4" s="4" t="str">
        <x:v>华夏北京保障房REIT</x:v>
      </x:c>
      <x:c r="B4" s="4" t="str">
        <x:v>2025-05-12</x:v>
      </x:c>
      <x:c r="C4" s="4" t="str">
        <x:v>2025上半年</x:v>
      </x:c>
      <x:c r="D4" s="4" t="str">
        <x:v>定期报告本期收益分配表已列</x:v>
      </x:c>
      <x:c r="E4" s="9" t="n">
        <x:v>0.5404</x:v>
      </x:c>
      <x:c r="F4" s="8" t="n">
        <x:v>27020015.85</x:v>
      </x:c>
      <x:c r="G4" s="4" t="str">
        <x:v>2024-07-01至2024-12-31</x:v>
      </x:c>
      <x:c r="H4" s="8" t="n">
        <x:v>27022689.95</x:v>
      </x:c>
      <x:c r="I4" s="8" t="n">
        <x:v>500.75</x:v>
      </x:c>
      <x:c r="J4" s="8" t="n">
        <x:f>H4+I4</x:f>
        <x:v>27023190.7</x:v>
      </x:c>
      <x:c r="K4" s="8" t="n">
        <x:f>J4-F4</x:f>
        <x:v>3174.849999997765</x:v>
      </x:c>
      <x:c r="L4" s="4" t="str">
        <x:v>2024期后；2025H1期内。中报本期收益分配表已列</x:v>
      </x:c>
      <x:c r="M4" s="4" t="str">
        <x:v>华夏北京保障房REIT_2025中报_20250830.pdf；2025中报PDF95，收益分配附注</x:v>
      </x:c>
    </x:row>
    <x:row r="5" ht="32" customHeight="1">
      <x:c r="A5" s="4" t="str">
        <x:v>华夏华润商业REIT</x:v>
      </x:c>
      <x:c r="B5" s="4" t="str">
        <x:v>2024-05-15</x:v>
      </x:c>
      <x:c r="C5" s="4" t="str">
        <x:v>2024年度</x:v>
      </x:c>
      <x:c r="D5" s="4" t="str">
        <x:v>定期报告本期收益分配表已列</x:v>
      </x:c>
      <x:c r="E5" s="9" t="n">
        <x:v>0.5122</x:v>
      </x:c>
      <x:c r="F5" s="8" t="n">
        <x:v>51219997.68</x:v>
      </x:c>
      <x:c r="G5" s="4" t="str">
        <x:v>2024-02-07至2024-03-31</x:v>
      </x:c>
      <x:c r="H5" s="8" t="n">
        <x:v>51221891.82</x:v>
      </x:c>
      <x:c r="I5" s="8" t="n">
        <x:v>0</x:v>
      </x:c>
      <x:c r="J5" s="8" t="n">
        <x:f>H5+I5</x:f>
        <x:v>51221891.82</x:v>
      </x:c>
      <x:c r="K5" s="8" t="n">
        <x:f>J5-F5</x:f>
        <x:v>1894.140000000596</x:v>
      </x:c>
      <x:c r="L5" s="4" t="str">
        <x:v>2024报告期内</x:v>
      </x:c>
      <x:c r="M5" s="4" t="str">
        <x:v>华夏华润商业REIT_2024年报_20250331.pdf；2024年报PDF101—102，收益分配附注</x:v>
      </x:c>
    </x:row>
    <x:row r="6" ht="32" customHeight="1">
      <x:c r="A6" s="4" t="str">
        <x:v>华夏华润商业REIT</x:v>
      </x:c>
      <x:c r="B6" s="4" t="str">
        <x:v>2024-08-05</x:v>
      </x:c>
      <x:c r="C6" s="4" t="str">
        <x:v>2024年度</x:v>
      </x:c>
      <x:c r="D6" s="4" t="str">
        <x:v>定期报告本期收益分配表已列</x:v>
      </x:c>
      <x:c r="E6" s="9" t="n">
        <x:v>0.8666</x:v>
      </x:c>
      <x:c r="F6" s="8" t="n">
        <x:v>86659997.19</x:v>
      </x:c>
      <x:c r="G6" s="4" t="str">
        <x:v>2024-04-01至2024-06-30</x:v>
      </x:c>
      <x:c r="H6" s="8" t="n">
        <x:v>86661587.44</x:v>
      </x:c>
      <x:c r="I6" s="8" t="n">
        <x:v>1894.14</x:v>
      </x:c>
      <x:c r="J6" s="8" t="n">
        <x:f>H6+I6</x:f>
        <x:v>86663481.58</x:v>
      </x:c>
      <x:c r="K6" s="8" t="n">
        <x:f>J6-F6</x:f>
        <x:v>3484.390000000596</x:v>
      </x:c>
      <x:c r="L6" s="4" t="str">
        <x:v>2024报告期内</x:v>
      </x:c>
      <x:c r="M6" s="4" t="str">
        <x:v>华夏华润商业REIT_2024年报_20250331.pdf；2024年报PDF101—102，收益分配附注</x:v>
      </x:c>
    </x:row>
    <x:row r="7" ht="32" customHeight="1">
      <x:c r="A7" s="4" t="str">
        <x:v>华夏华润商业REIT</x:v>
      </x:c>
      <x:c r="B7" s="4" t="str">
        <x:v>2024-11-19</x:v>
      </x:c>
      <x:c r="C7" s="4" t="str">
        <x:v>2024年度</x:v>
      </x:c>
      <x:c r="D7" s="4" t="str">
        <x:v>定期报告本期收益分配表已列</x:v>
      </x:c>
      <x:c r="E7" s="9" t="n">
        <x:v>0.8878</x:v>
      </x:c>
      <x:c r="F7" s="8" t="n">
        <x:v>88779997.55</x:v>
      </x:c>
      <x:c r="G7" s="4" t="str">
        <x:v>2024-07-01至2024-09-30</x:v>
      </x:c>
      <x:c r="H7" s="8" t="n">
        <x:v>88784989.62</x:v>
      </x:c>
      <x:c r="I7" s="8" t="n">
        <x:v>3484.39</x:v>
      </x:c>
      <x:c r="J7" s="8" t="n">
        <x:f>H7+I7</x:f>
        <x:v>88788474.01</x:v>
      </x:c>
      <x:c r="K7" s="8" t="n">
        <x:f>J7-F7</x:f>
        <x:v>8476.460000008345</x:v>
      </x:c>
      <x:c r="L7" s="4" t="str">
        <x:v>2024报告期内</x:v>
      </x:c>
      <x:c r="M7" s="4" t="str">
        <x:v>华夏华润商业REIT_2024年报_20250331.pdf；2024年报PDF101—102，收益分配附注</x:v>
      </x:c>
    </x:row>
    <x:row r="8" ht="42" customHeight="1">
      <x:c r="A8" s="4" t="str">
        <x:v>华夏华润商业REIT</x:v>
      </x:c>
      <x:c r="B8" s="4" t="str">
        <x:v>2025-02-28</x:v>
      </x:c>
      <x:c r="C8" s="4" t="str">
        <x:v>2025上半年</x:v>
      </x:c>
      <x:c r="D8" s="4" t="str">
        <x:v>定期报告本期收益分配表已列</x:v>
      </x:c>
      <x:c r="E8" s="9" t="n">
        <x:v>0.8868</x:v>
      </x:c>
      <x:c r="F8" s="8" t="n">
        <x:v>88679997.26</x:v>
      </x:c>
      <x:c r="G8" s="4" t="str">
        <x:v>2024-10-01至2024-12-31</x:v>
      </x:c>
      <x:c r="H8" s="8" t="n">
        <x:v>88677402.45</x:v>
      </x:c>
      <x:c r="I8" s="8" t="n">
        <x:v>8476.46</x:v>
      </x:c>
      <x:c r="J8" s="8" t="n">
        <x:f>H8+I8</x:f>
        <x:v>88685878.91</x:v>
      </x:c>
      <x:c r="K8" s="8" t="n">
        <x:f>J8-F8</x:f>
        <x:v>5881.649999991059</x:v>
      </x:c>
      <x:c r="L8" s="4" t="str">
        <x:v>2024期后；2025H1期内。年报期后公告与中报实际表同笔只计一次</x:v>
      </x:c>
      <x:c r="M8" s="4" t="str">
        <x:v>华夏华润商业REIT_2024年报_20250331.pdf；华夏华润商业REIT_2025中报_20250830.pdf；2025中报PDF78；2024年报PDF102期后公告，收益分配附注</x:v>
      </x:c>
    </x:row>
    <x:row r="9" ht="32" customHeight="1">
      <x:c r="A9" s="4" t="str">
        <x:v>华夏华润商业REIT</x:v>
      </x:c>
      <x:c r="B9" s="4" t="str">
        <x:v>2025-05-23</x:v>
      </x:c>
      <x:c r="C9" s="4" t="str">
        <x:v>2025上半年</x:v>
      </x:c>
      <x:c r="D9" s="4" t="str">
        <x:v>定期报告本期收益分配表已列</x:v>
      </x:c>
      <x:c r="E9" s="9" t="n">
        <x:v>0.8826</x:v>
      </x:c>
      <x:c r="F9" s="8" t="n">
        <x:v>88259996.11</x:v>
      </x:c>
      <x:c r="G9" s="4" t="str">
        <x:v>2025-01-01至2025-03-31</x:v>
      </x:c>
      <x:c r="H9" s="8" t="n">
        <x:v>88259179.37</x:v>
      </x:c>
      <x:c r="I9" s="8" t="n">
        <x:v>5881.64</x:v>
      </x:c>
      <x:c r="J9" s="8" t="n">
        <x:f>H9+I9</x:f>
        <x:v>88265061.01</x:v>
      </x:c>
      <x:c r="K9" s="8" t="n">
        <x:f>J9-F9</x:f>
        <x:v>5064.9000000059605</x:v>
      </x:c>
      <x:c r="L9" s="4" t="str">
        <x:v>2024期后；2025H1期内。中报本期收益分配表已列</x:v>
      </x:c>
      <x:c r="M9" s="4" t="str">
        <x:v>华夏华润商业REIT_2025中报_20250830.pdf；2025中报PDF78，收益分配附注</x:v>
      </x:c>
    </x:row>
    <x:row r="10" ht="32" customHeight="1">
      <x:c r="A10" s="4" t="str">
        <x:v>华夏合肥高新REIT</x:v>
      </x:c>
      <x:c r="B10" s="4" t="str">
        <x:v>2024-01-17</x:v>
      </x:c>
      <x:c r="C10" s="4" t="str">
        <x:v>2024年度</x:v>
      </x:c>
      <x:c r="D10" s="4" t="str">
        <x:v>定期报告本期收益分配表已列</x:v>
      </x:c>
      <x:c r="E10" s="9" t="n">
        <x:v>0.2746</x:v>
      </x:c>
      <x:c r="F10" s="8" t="n">
        <x:v>19221895.5</x:v>
      </x:c>
      <x:c r="G10" s="4" t="str">
        <x:v>2023-07-01至2023-09-30</x:v>
      </x:c>
      <x:c r="H10" s="8" t="n">
        <x:v>19173659.5</x:v>
      </x:c>
      <x:c r="I10" s="8" t="n">
        <x:v>51314.31</x:v>
      </x:c>
      <x:c r="J10" s="8" t="n">
        <x:f>H10+I10</x:f>
        <x:v>19224973.81</x:v>
      </x:c>
      <x:c r="K10" s="8" t="n">
        <x:f>J10-F10</x:f>
        <x:v>3078.309999998659</x:v>
      </x:c>
      <x:c r="L10" s="4" t="str">
        <x:v>2024报告期内</x:v>
      </x:c>
      <x:c r="M10" s="4" t="str">
        <x:v>华夏合肥高新REIT_2024年报_20250331.pdf；2024年报PDF88，收益分配附注</x:v>
      </x:c>
    </x:row>
    <x:row r="11" ht="32" customHeight="1">
      <x:c r="A11" s="4" t="str">
        <x:v>华夏合肥高新REIT</x:v>
      </x:c>
      <x:c r="B11" s="4" t="str">
        <x:v>2024-04-02</x:v>
      </x:c>
      <x:c r="C11" s="4" t="str">
        <x:v>2024年度</x:v>
      </x:c>
      <x:c r="D11" s="4" t="str">
        <x:v>定期报告本期收益分配表已列</x:v>
      </x:c>
      <x:c r="E11" s="9" t="n">
        <x:v>0.2747</x:v>
      </x:c>
      <x:c r="F11" s="8" t="n">
        <x:v>19228896.4</x:v>
      </x:c>
      <x:c r="G11" s="4" t="str">
        <x:v>2023-10-01至2023-12-31</x:v>
      </x:c>
      <x:c r="H11" s="8" t="n">
        <x:v>19232235.7</x:v>
      </x:c>
      <x:c r="I11" s="8" t="n">
        <x:v>3078.31</x:v>
      </x:c>
      <x:c r="J11" s="8" t="n">
        <x:f>H11+I11</x:f>
        <x:v>19235314.009999998</x:v>
      </x:c>
      <x:c r="K11" s="8" t="n">
        <x:f>J11-F11</x:f>
        <x:v>6417.609999999404</x:v>
      </x:c>
      <x:c r="L11" s="4" t="str">
        <x:v>2024报告期内</x:v>
      </x:c>
      <x:c r="M11" s="4" t="str">
        <x:v>华夏合肥高新REIT_2024年报_20250331.pdf；2024年报PDF88，收益分配附注</x:v>
      </x:c>
    </x:row>
    <x:row r="12" ht="32" customHeight="1">
      <x:c r="A12" s="4" t="str">
        <x:v>华夏合肥高新REIT</x:v>
      </x:c>
      <x:c r="B12" s="4" t="str">
        <x:v>2024-06-05</x:v>
      </x:c>
      <x:c r="C12" s="4" t="str">
        <x:v>2024年度</x:v>
      </x:c>
      <x:c r="D12" s="4" t="str">
        <x:v>定期报告本期收益分配表已列</x:v>
      </x:c>
      <x:c r="E12" s="9" t="n">
        <x:v>0.2703</x:v>
      </x:c>
      <x:c r="F12" s="8" t="n">
        <x:v>18920916.14</x:v>
      </x:c>
      <x:c r="G12" s="4" t="str">
        <x:v>2024-01-01至2024-03-31</x:v>
      </x:c>
      <x:c r="H12" s="8" t="n">
        <x:v>18918805.06</x:v>
      </x:c>
      <x:c r="I12" s="8" t="n">
        <x:v>6417.61</x:v>
      </x:c>
      <x:c r="J12" s="8" t="n">
        <x:f>H12+I12</x:f>
        <x:v>18925222.669999998</x:v>
      </x:c>
      <x:c r="K12" s="8" t="n">
        <x:f>J12-F12</x:f>
        <x:v>4306.529999997467</x:v>
      </x:c>
      <x:c r="L12" s="4" t="str">
        <x:v>2024报告期内</x:v>
      </x:c>
      <x:c r="M12" s="4" t="str">
        <x:v>华夏合肥高新REIT_2024年报_20250331.pdf；2024年报PDF88，收益分配附注</x:v>
      </x:c>
    </x:row>
    <x:row r="13" ht="32" customHeight="1">
      <x:c r="A13" s="4" t="str">
        <x:v>华夏合肥高新REIT</x:v>
      </x:c>
      <x:c r="B13" s="4" t="str">
        <x:v>2024-08-13</x:v>
      </x:c>
      <x:c r="C13" s="4" t="str">
        <x:v>2024年度</x:v>
      </x:c>
      <x:c r="D13" s="4" t="str">
        <x:v>定期报告本期收益分配表已列</x:v>
      </x:c>
      <x:c r="E13" s="9" t="n">
        <x:v>0.2713</x:v>
      </x:c>
      <x:c r="F13" s="8" t="n">
        <x:v>18990910.5</x:v>
      </x:c>
      <x:c r="G13" s="4" t="str">
        <x:v>2024-04-01至2024-06-30</x:v>
      </x:c>
      <x:c r="H13" s="8" t="n">
        <x:v>18993189.69</x:v>
      </x:c>
      <x:c r="I13" s="8" t="n">
        <x:v>4306.53</x:v>
      </x:c>
      <x:c r="J13" s="8" t="n">
        <x:f>H13+I13</x:f>
        <x:v>18997496.220000003</x:v>
      </x:c>
      <x:c r="K13" s="8" t="n">
        <x:f>J13-F13</x:f>
        <x:v>6585.720000002533</x:v>
      </x:c>
      <x:c r="L13" s="4" t="str">
        <x:v>2024报告期内</x:v>
      </x:c>
      <x:c r="M13" s="4" t="str">
        <x:v>华夏合肥高新REIT_2024年报_20250331.pdf；2024年报PDF88，收益分配附注</x:v>
      </x:c>
    </x:row>
    <x:row r="14" ht="32" customHeight="1">
      <x:c r="A14" s="4" t="str">
        <x:v>华夏合肥高新REIT</x:v>
      </x:c>
      <x:c r="B14" s="4" t="str">
        <x:v>2024-11-08</x:v>
      </x:c>
      <x:c r="C14" s="4" t="str">
        <x:v>2024年度</x:v>
      </x:c>
      <x:c r="D14" s="4" t="str">
        <x:v>定期报告本期收益分配表已列</x:v>
      </x:c>
      <x:c r="E14" s="9" t="n">
        <x:v>0.2687</x:v>
      </x:c>
      <x:c r="F14" s="8" t="n">
        <x:v>18808926.74</x:v>
      </x:c>
      <x:c r="G14" s="4" t="str">
        <x:v>2024-07-01至2024-09-30</x:v>
      </x:c>
      <x:c r="H14" s="8" t="n">
        <x:v>18808763.86</x:v>
      </x:c>
      <x:c r="I14" s="8" t="n">
        <x:v>6585.72</x:v>
      </x:c>
      <x:c r="J14" s="8" t="n">
        <x:f>H14+I14</x:f>
        <x:v>18815349.58</x:v>
      </x:c>
      <x:c r="K14" s="8" t="n">
        <x:f>J14-F14</x:f>
        <x:v>6422.839999999851</x:v>
      </x:c>
      <x:c r="L14" s="4" t="str">
        <x:v>2024报告期内</x:v>
      </x:c>
      <x:c r="M14" s="4" t="str">
        <x:v>华夏合肥高新REIT_2024年报_20250331.pdf；2024年报PDF88，收益分配附注</x:v>
      </x:c>
    </x:row>
    <x:row r="15" ht="42" customHeight="1">
      <x:c r="A15" s="4" t="str">
        <x:v>华夏合肥高新REIT</x:v>
      </x:c>
      <x:c r="B15" s="4" t="str">
        <x:v>2025-01-24</x:v>
      </x:c>
      <x:c r="C15" s="4" t="str">
        <x:v>2025上半年</x:v>
      </x:c>
      <x:c r="D15" s="4" t="str">
        <x:v>定期报告本期收益分配表已列</x:v>
      </x:c>
      <x:c r="E15" s="9" t="n">
        <x:v>0.2705</x:v>
      </x:c>
      <x:c r="F15" s="8" t="n">
        <x:v>18934928.77</x:v>
      </x:c>
      <x:c r="G15" s="4" t="str">
        <x:v>2024-10-01至2024-12-31</x:v>
      </x:c>
      <x:c r="H15" s="8" t="n">
        <x:v>18933171.98</x:v>
      </x:c>
      <x:c r="I15" s="8" t="n">
        <x:v>6422.84</x:v>
      </x:c>
      <x:c r="J15" s="8" t="n">
        <x:f>H15+I15</x:f>
        <x:v>18939594.82</x:v>
      </x:c>
      <x:c r="K15" s="8" t="n">
        <x:f>J15-F15</x:f>
        <x:v>4666.050000000745</x:v>
      </x:c>
      <x:c r="L15" s="4" t="str">
        <x:v>2024期后；2025H1期内。年报期后公告与中报实际表同笔只计一次</x:v>
      </x:c>
      <x:c r="M15" s="4" t="str">
        <x:v>华夏合肥高新REIT_2024年报_20250331.pdf；华夏合肥高新REIT_2025中报_20250830.pdf；2025中报PDF71；2024年报PDF88期后公告，收益分配附注</x:v>
      </x:c>
    </x:row>
    <x:row r="16" ht="32" customHeight="1">
      <x:c r="A16" s="4" t="str">
        <x:v>华夏合肥高新REIT</x:v>
      </x:c>
      <x:c r="B16" s="4" t="str">
        <x:v>2025-05-30</x:v>
      </x:c>
      <x:c r="C16" s="4" t="str">
        <x:v>2025上半年</x:v>
      </x:c>
      <x:c r="D16" s="4" t="str">
        <x:v>定期报告本期收益分配表已列</x:v>
      </x:c>
      <x:c r="E16" s="9" t="n">
        <x:v>0.2442</x:v>
      </x:c>
      <x:c r="F16" s="8" t="n">
        <x:v>17093924.78</x:v>
      </x:c>
      <x:c r="G16" s="4" t="str">
        <x:v>2025-01-01至2025-03-31</x:v>
      </x:c>
      <x:c r="H16" s="8" t="n">
        <x:v>17094460.65</x:v>
      </x:c>
      <x:c r="I16" s="8" t="n">
        <x:v>4666.05</x:v>
      </x:c>
      <x:c r="J16" s="8" t="n">
        <x:f>H16+I16</x:f>
        <x:v>17099126.7</x:v>
      </x:c>
      <x:c r="K16" s="8" t="n">
        <x:f>J16-F16</x:f>
        <x:v>5201.919999998063</x:v>
      </x:c>
      <x:c r="L16" s="4" t="str">
        <x:v>2024期后；2025H1期内。中报本期收益分配表已列</x:v>
      </x:c>
      <x:c r="M16" s="4" t="str">
        <x:v>华夏合肥高新REIT_2025中报_20250830.pdf；2025中报PDF71，收益分配附注</x:v>
      </x:c>
    </x:row>
    <x:row r="17" ht="32" customHeight="1">
      <x:c r="A17" s="4" t="str">
        <x:v>华夏越秀高速REIT</x:v>
      </x:c>
      <x:c r="B17" s="4" t="str">
        <x:v>2024-04-11</x:v>
      </x:c>
      <x:c r="C17" s="4" t="str">
        <x:v>2024年度</x:v>
      </x:c>
      <x:c r="D17" s="4" t="str">
        <x:v>定期报告本期收益分配表已列</x:v>
      </x:c>
      <x:c r="E17" s="9" t="n">
        <x:v>1.3077</x:v>
      </x:c>
      <x:c r="F17" s="8" t="n">
        <x:v>39230795.05</x:v>
      </x:c>
      <x:c r="G17" s="4" t="str">
        <x:v>2023-10-01至2023-12-31</x:v>
      </x:c>
      <x:c r="H17" s="8" t="n">
        <x:v>39224533.03</x:v>
      </x:c>
      <x:c r="I17" s="8" t="n">
        <x:v>10566.72</x:v>
      </x:c>
      <x:c r="J17" s="8" t="n">
        <x:f>H17+I17</x:f>
        <x:v>39235099.75</x:v>
      </x:c>
      <x:c r="K17" s="8" t="n">
        <x:f>J17-F17</x:f>
        <x:v>4304.70000000298</x:v>
      </x:c>
      <x:c r="L17" s="4" t="str">
        <x:v>2024报告期内</x:v>
      </x:c>
      <x:c r="M17" s="4" t="str">
        <x:v>华夏越秀高速REIT_2024年报_20250331.pdf；2024年报PDF82—83，收益分配附注</x:v>
      </x:c>
    </x:row>
    <x:row r="18" ht="32" customHeight="1">
      <x:c r="A18" s="4" t="str">
        <x:v>华夏越秀高速REIT</x:v>
      </x:c>
      <x:c r="B18" s="4" t="str">
        <x:v>2024-06-07</x:v>
      </x:c>
      <x:c r="C18" s="4" t="str">
        <x:v>2024年度</x:v>
      </x:c>
      <x:c r="D18" s="4" t="str">
        <x:v>定期报告本期收益分配表已列</x:v>
      </x:c>
      <x:c r="E18" s="9" t="n">
        <x:v>1.133</x:v>
      </x:c>
      <x:c r="F18" s="8" t="n">
        <x:v>33989834.6</x:v>
      </x:c>
      <x:c r="G18" s="4" t="str">
        <x:v>2024-01-01至2024-03-31</x:v>
      </x:c>
      <x:c r="H18" s="8" t="n">
        <x:v>33987332.19</x:v>
      </x:c>
      <x:c r="I18" s="8" t="n">
        <x:v>4304.7</x:v>
      </x:c>
      <x:c r="J18" s="8" t="n">
        <x:f>H18+I18</x:f>
        <x:v>33991636.89</x:v>
      </x:c>
      <x:c r="K18" s="8" t="n">
        <x:f>J18-F18</x:f>
        <x:v>1802.289999999106</x:v>
      </x:c>
      <x:c r="L18" s="4" t="str">
        <x:v>2024报告期内</x:v>
      </x:c>
      <x:c r="M18" s="4" t="str">
        <x:v>华夏越秀高速REIT_2024年报_20250331.pdf；2024年报PDF83，收益分配附注</x:v>
      </x:c>
    </x:row>
    <x:row r="19" ht="32" customHeight="1">
      <x:c r="A19" s="4" t="str">
        <x:v>华夏越秀高速REIT</x:v>
      </x:c>
      <x:c r="B19" s="4" t="str">
        <x:v>2024-08-30</x:v>
      </x:c>
      <x:c r="C19" s="4" t="str">
        <x:v>2024年度</x:v>
      </x:c>
      <x:c r="D19" s="4" t="str">
        <x:v>定期报告本期收益分配表已列</x:v>
      </x:c>
      <x:c r="E19" s="9" t="n">
        <x:v>1.05</x:v>
      </x:c>
      <x:c r="F19" s="8" t="n">
        <x:v>31499965.13</x:v>
      </x:c>
      <x:c r="G19" s="4" t="str">
        <x:v>2024-04-01至2024-06-30</x:v>
      </x:c>
      <x:c r="H19" s="8" t="n">
        <x:v>31498830.1</x:v>
      </x:c>
      <x:c r="I19" s="8" t="n">
        <x:v>1802.29</x:v>
      </x:c>
      <x:c r="J19" s="8" t="n">
        <x:f>H19+I19</x:f>
        <x:v>31500632.39</x:v>
      </x:c>
      <x:c r="K19" s="8" t="n">
        <x:f>J19-F19</x:f>
        <x:v>667.2600000016391</x:v>
      </x:c>
      <x:c r="L19" s="4" t="str">
        <x:v>2024报告期内</x:v>
      </x:c>
      <x:c r="M19" s="4" t="str">
        <x:v>华夏越秀高速REIT_2024年报_20250331.pdf；2024年报PDF83，收益分配附注</x:v>
      </x:c>
    </x:row>
    <x:row r="20" ht="32" customHeight="1">
      <x:c r="A20" s="4" t="str">
        <x:v>华夏越秀高速REIT</x:v>
      </x:c>
      <x:c r="B20" s="4" t="str">
        <x:v>2024-12-06</x:v>
      </x:c>
      <x:c r="C20" s="4" t="str">
        <x:v>2024年度</x:v>
      </x:c>
      <x:c r="D20" s="4" t="str">
        <x:v>定期报告本期收益分配表已列</x:v>
      </x:c>
      <x:c r="E20" s="9" t="n">
        <x:v>1.2622</x:v>
      </x:c>
      <x:c r="F20" s="8" t="n">
        <x:v>37865908.77</x:v>
      </x:c>
      <x:c r="G20" s="4" t="str">
        <x:v>2024-07-01至2024-09-30</x:v>
      </x:c>
      <x:c r="H20" s="8" t="n">
        <x:v>37867532.98</x:v>
      </x:c>
      <x:c r="I20" s="8" t="n">
        <x:v>667.26</x:v>
      </x:c>
      <x:c r="J20" s="8" t="n">
        <x:f>H20+I20</x:f>
        <x:v>37868200.239999995</x:v>
      </x:c>
      <x:c r="K20" s="8" t="n">
        <x:f>J20-F20</x:f>
        <x:v>2291.4699999913573</x:v>
      </x:c>
      <x:c r="L20" s="4" t="str">
        <x:v>2024报告期内</x:v>
      </x:c>
      <x:c r="M20" s="4" t="str">
        <x:v>华夏越秀高速REIT_2024年报_20250331.pdf；2024年报PDF83，收益分配附注</x:v>
      </x:c>
    </x:row>
    <x:row r="21" ht="32" customHeight="1">
      <x:c r="A21" s="4" t="str">
        <x:v>华夏越秀高速REIT</x:v>
      </x:c>
      <x:c r="B21" s="4" t="str">
        <x:v>2025-05-12</x:v>
      </x:c>
      <x:c r="C21" s="4" t="str">
        <x:v>2025上半年</x:v>
      </x:c>
      <x:c r="D21" s="4" t="str">
        <x:v>定期报告本期收益分配表已列</x:v>
      </x:c>
      <x:c r="E21" s="9" t="n">
        <x:v>0.8202</x:v>
      </x:c>
      <x:c r="F21" s="8" t="n">
        <x:v>24605900.74</x:v>
      </x:c>
      <x:c r="G21" s="4" t="str">
        <x:v>2024-10-01至2024-12-31</x:v>
      </x:c>
      <x:c r="H21" s="8" t="n">
        <x:v>24604064.54</x:v>
      </x:c>
      <x:c r="I21" s="8" t="n">
        <x:v>2291.47</x:v>
      </x:c>
      <x:c r="J21" s="8" t="n">
        <x:f>H21+I21</x:f>
        <x:v>24606356.009999998</x:v>
      </x:c>
      <x:c r="K21" s="8" t="n">
        <x:f>J21-F21</x:f>
        <x:v>455.26999999955297</x:v>
      </x:c>
      <x:c r="L21" s="4" t="str">
        <x:v>2024期后；2025H1期内。中报本期收益分配表已列</x:v>
      </x:c>
      <x:c r="M21" s="4" t="str">
        <x:v>华夏越秀高速REIT_2025中报_20250830.pdf；2025中报PDF67—68，收益分配附注</x:v>
      </x:c>
    </x:row>
    <x:row r="22" ht="32" customHeight="1">
      <x:c r="A22" s="4" t="str">
        <x:v>华夏华润商业REIT</x:v>
      </x:c>
      <x:c r="B22" s="4" t="str">
        <x:v>2025-08-15</x:v>
      </x:c>
      <x:c r="C22" s="4" t="str">
        <x:v>2025H1期后</x:v>
      </x:c>
      <x:c r="D22" s="4" t="str">
        <x:v>公告日2025-08-13；按原附注登记日记录</x:v>
      </x:c>
      <x:c r="E22" s="9" t="n">
        <x:v>0.9117</x:v>
      </x:c>
      <x:c r="F22" s="8"/>
      <x:c r="G22" s="4" t="str">
        <x:v>该附注未列覆盖期，待核分派公告及台账</x:v>
      </x:c>
      <x:c r="H22" s="8"/>
      <x:c r="I22" s="8"/>
      <x:c r="J22" s="8"/>
      <x:c r="K22" s="8"/>
      <x:c r="L22" s="4" t="str">
        <x:v>截止06-30不计入本期已付；记录已公开的期后公告，未据登记日推断到账</x:v>
      </x:c>
      <x:c r="M22" s="4" t="str">
        <x:v>华夏华润商业REIT_2025中报_20250830.pdf；2025中报PDF78，收益分配附注注释</x:v>
      </x:c>
    </x:row>
    <x:row r="23" ht="32" customHeight="1">
      <x:c r="A23" s="4" t="str">
        <x:v>华夏合肥高新REIT</x:v>
      </x:c>
      <x:c r="B23" s="4" t="str">
        <x:v>2025-08-12</x:v>
      </x:c>
      <x:c r="C23" s="4" t="str">
        <x:v>2025H1期后</x:v>
      </x:c>
      <x:c r="D23" s="4" t="str">
        <x:v>公告日2025-08-08；按原附注登记日记录</x:v>
      </x:c>
      <x:c r="E23" s="9" t="n">
        <x:v>0.2446</x:v>
      </x:c>
      <x:c r="F23" s="8"/>
      <x:c r="G23" s="4" t="str">
        <x:v>该附注未列覆盖期，待核分派公告及台账</x:v>
      </x:c>
      <x:c r="H23" s="8"/>
      <x:c r="I23" s="8"/>
      <x:c r="J23" s="8"/>
      <x:c r="K23" s="8"/>
      <x:c r="L23" s="4" t="str">
        <x:v>截止06-30不计入本期已付；记录已公开的期后公告，未据登记日推断到账</x:v>
      </x:c>
      <x:c r="M23" s="4" t="str">
        <x:v>华夏合肥高新REIT_2025中报_20250830.pdf；2025中报PDF71，收益分配附注注释</x:v>
      </x:c>
    </x:row>
    <x:row r="24" ht="32" customHeight="1">
      <x:c r="A24" s="4" t="str">
        <x:v>华夏越秀高速REIT</x:v>
      </x:c>
      <x:c r="B24" s="4" t="str">
        <x:v>2025-07-11</x:v>
      </x:c>
      <x:c r="C24" s="4" t="str">
        <x:v>2025H1期后</x:v>
      </x:c>
      <x:c r="D24" s="4" t="str">
        <x:v>公告日2025-07-09；按原附注登记日记录</x:v>
      </x:c>
      <x:c r="E24" s="9" t="n">
        <x:v>0.8973</x:v>
      </x:c>
      <x:c r="F24" s="8"/>
      <x:c r="G24" s="4" t="str">
        <x:v>该附注未列覆盖期，待核分派公告及台账</x:v>
      </x:c>
      <x:c r="H24" s="8"/>
      <x:c r="I24" s="8"/>
      <x:c r="J24" s="8"/>
      <x:c r="K24" s="8"/>
      <x:c r="L24" s="4" t="str">
        <x:v>截止06-30不计入本期已付；记录已公开的期后公告，未据登记日推断到账</x:v>
      </x:c>
      <x:c r="M24" s="4" t="str">
        <x:v>华夏越秀高速REIT_2025中报_20250830.pdf；2025中报PDF68，收益分配附注注释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32" hidden="0" customWidth="1"/>
    <x:col min="4" max="4" width="32" hidden="0" customWidth="1"/>
    <x:col min="5" max="5" width="36" hidden="0" customWidth="1"/>
    <x:col min="6" max="6" width="22" hidden="0" customWidth="1"/>
    <x:col min="7" max="7" width="38" hidden="0" customWidth="1"/>
    <x:col min="8" max="8" width="120" hidden="0" customWidth="1"/>
    <x:col min="9" max="9" width="95" hidden="0" customWidth="1"/>
    <x:col min="10" max="10" width="25" hidden="0" customWidth="1"/>
    <x:col min="11" max="11" width="65" hidden="0" customWidth="1"/>
  </x:cols>
  <x:sheetData>
    <x:row r="1" ht="36" customHeight="1">
      <x:c r="A1" s="6" t="str">
        <x:v>基金</x:v>
      </x:c>
      <x:c r="B1" s="6" t="str">
        <x:v>估价对象</x:v>
      </x:c>
      <x:c r="C1" s="6" t="str">
        <x:v>建筑面积（平方米）</x:v>
      </x:c>
      <x:c r="D1" s="6" t="str">
        <x:v>土地面积（平方米）</x:v>
      </x:c>
      <x:c r="E1" s="6" t="str">
        <x:v>评估价值（元）</x:v>
      </x:c>
      <x:c r="F1" s="6" t="str">
        <x:v>折现率</x:v>
      </x:c>
      <x:c r="G1" s="6" t="str">
        <x:v>土地剩余年限（年）</x:v>
      </x:c>
      <x:c r="H1" s="6" t="str">
        <x:v>主要运营假设及支出</x:v>
      </x:c>
      <x:c r="I1" s="6" t="str">
        <x:v>出处</x:v>
      </x:c>
      <x:c r="J1" s="6" t="str">
        <x:v>价值时点</x:v>
      </x:c>
      <x:c r="K1" s="6" t="str">
        <x:v>估值方法</x:v>
      </x:c>
    </x:row>
    <x:row r="2" ht="42" customHeight="1">
      <x:c r="A2" s="4" t="str">
        <x:v>华夏华润商业REIT</x:v>
      </x:c>
      <x:c r="B2" s="4" t="str">
        <x:v>青岛万象城</x:v>
      </x:c>
      <x:c r="C2" s="8" t="n">
        <x:v>419224.06</x:v>
      </x:c>
      <x:c r="D2" s="8" t="n">
        <x:v>62980.89</x:v>
      </x:c>
      <x:c r="E2" s="11" t="n">
        <x:v>8150000000</x:v>
      </x:c>
      <x:c r="F2" s="10" t="n">
        <x:v>0.07</x:v>
      </x:c>
      <x:c r="G2" s="4" t="n">
        <x:v>26.5</x:v>
      </x:c>
      <x:c r="H2" s="4" t="str">
        <x:v>市场租金不含管理费、推广费及增值税；2025资本性支出8,733万元（311常规、8,422改造）；专门店预测租金增长6%—3%，主力店3%，出租率97%</x:v>
      </x:c>
      <x:c r="I2" s="4" t="str">
        <x:v>华夏华润商业REIT_2024年末评估_20250331.pdf，PDF第21页3.12；第22页3.13、3.14；第24页4.1</x:v>
      </x:c>
      <x:c r="J2" s="4" t="str">
        <x:v>2024-12-31</x:v>
      </x:c>
      <x:c r="K2" s="4" t="str">
        <x:v>收益法（现金流折现法）</x:v>
      </x:c>
    </x:row>
    <x:row r="3" ht="42" customHeight="1">
      <x:c r="A3" s="4" t="str">
        <x:v>华夏合肥高新REIT</x:v>
      </x:c>
      <x:c r="B3" s="4" t="str">
        <x:v>估价对象一：A1-A4、B4-B5、D2-D9及地下车库</x:v>
      </x:c>
      <x:c r="C3" s="8" t="n">
        <x:v>169600.72</x:v>
      </x:c>
      <x:c r="D3" s="8"/>
      <x:c r="E3" s="11" t="n">
        <x:v>600000000</x:v>
      </x:c>
      <x:c r="F3" s="10" t="n">
        <x:v>0.065</x:v>
      </x:c>
      <x:c r="G3" s="4" t="str">
        <x:v>34.06、34.69、34.99</x:v>
      </x:c>
      <x:c r="H3" s="4" t="str">
        <x:v>两对象市场租金37元/平方米/月，含税不含物业管理费；预测租金增长3%；两对象2025资本支出合计850万元</x:v>
      </x:c>
      <x:c r="I3" s="4" t="str">
        <x:v>华夏合肥高新REIT_2024年末评估_20250331.pdf，PDF第21页3.12；第22页3.13、3.14；第24页4.1</x:v>
      </x:c>
      <x:c r="J3" s="4" t="str">
        <x:v>2024-12-31</x:v>
      </x:c>
      <x:c r="K3" s="4" t="str">
        <x:v>收益法中的报酬资本化法（现金流折现法）</x:v>
      </x:c>
    </x:row>
    <x:row r="4" ht="42" customHeight="1">
      <x:c r="A4" s="4" t="str">
        <x:v>华夏合肥高新REIT</x:v>
      </x:c>
      <x:c r="B4" s="4" t="str">
        <x:v>估价对象二：B1-B3、C1-C4及D1</x:v>
      </x:c>
      <x:c r="C4" s="8" t="n">
        <x:v>187236.69</x:v>
      </x:c>
      <x:c r="D4" s="8"/>
      <x:c r="E4" s="11" t="n">
        <x:v>722000000</x:v>
      </x:c>
      <x:c r="F4" s="10" t="n">
        <x:v>0.065</x:v>
      </x:c>
      <x:c r="G4" s="4" t="str">
        <x:v>34.69、34.99</x:v>
      </x:c>
      <x:c r="H4" s="4" t="str">
        <x:v>2025—2034运营净收益表为两估价对象合计，不能重复按两对象各计一次</x:v>
      </x:c>
      <x:c r="I4" s="4" t="str">
        <x:v>华夏合肥高新REIT_2024年末评估_20250331.pdf，PDF第21页3.12；第22页3.14；第24页4.1</x:v>
      </x:c>
      <x:c r="J4" s="4" t="str">
        <x:v>2024-12-31</x:v>
      </x:c>
      <x:c r="K4" s="4" t="str">
        <x:v>收益法中的报酬资本化法（现金流折现法）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25" hidden="0" customWidth="1"/>
    <x:col min="9" max="9" width="23" hidden="0" customWidth="1"/>
    <x:col min="10" max="10" width="36" hidden="0" customWidth="1"/>
    <x:col min="11" max="11" width="34" hidden="0" customWidth="1"/>
    <x:col min="12" max="12" width="36" hidden="0" customWidth="1"/>
    <x:col min="13" max="13" width="105" hidden="0" customWidth="1"/>
  </x:cols>
  <x:sheetData>
    <x:row r="1" ht="36" customHeight="1">
      <x:c r="A1" s="6" t="str">
        <x:v>基金</x:v>
      </x:c>
      <x:c r="B1" s="6" t="str">
        <x:v>现金年份</x:v>
      </x:c>
      <x:c r="C1" s="6" t="str">
        <x:v>运营收入（万元）</x:v>
      </x:c>
      <x:c r="D1" s="6" t="str">
        <x:v>成本税费及资本支出（万元）</x:v>
      </x:c>
      <x:c r="E1" s="6" t="str">
        <x:v>运营净收益披露（万元）</x:v>
      </x:c>
      <x:c r="F1" s="6" t="str">
        <x:v>收入减支出（万元）</x:v>
      </x:c>
      <x:c r="G1" s="6" t="str">
        <x:v>复核残差（万元）</x:v>
      </x:c>
      <x:c r="H1" s="6" t="str">
        <x:v>年末折现期数</x:v>
      </x:c>
      <x:c r="I1" s="6" t="str">
        <x:v>原折现率</x:v>
      </x:c>
      <x:c r="J1" s="6" t="str">
        <x:v>基准窗口PV（元）</x:v>
      </x:c>
      <x:c r="K1" s="6" t="str">
        <x:v>提高1个百分点折现率</x:v>
      </x:c>
      <x:c r="L1" s="6" t="str">
        <x:v>压力窗口PV（元）</x:v>
      </x:c>
      <x:c r="M1" s="6" t="str">
        <x:v>出处</x:v>
      </x:c>
    </x:row>
    <x:row r="2" ht="42" customHeight="1">
      <x:c r="A2" s="4" t="str">
        <x:v>华夏华润商业REIT</x:v>
      </x:c>
      <x:c r="B2" s="4" t="n">
        <x:v>2025</x:v>
      </x:c>
      <x:c r="C2" s="11" t="n">
        <x:v>72315</x:v>
      </x:c>
      <x:c r="D2" s="11" t="n">
        <x:v>33994</x:v>
      </x:c>
      <x:c r="E2" s="11" t="n">
        <x:v>38321</x:v>
      </x:c>
      <x:c r="F2" s="11" t="n">
        <x:f>C2-D2</x:f>
        <x:v>38321</x:v>
      </x:c>
      <x:c r="G2" s="11" t="n">
        <x:f>F2-E2</x:f>
        <x:v>0</x:v>
      </x:c>
      <x:c r="H2" s="4" t="n">
        <x:v>1</x:v>
      </x:c>
      <x:c r="I2" s="10" t="n">
        <x:f>'评估摘要'!F2</x:f>
        <x:v>0.07</x:v>
      </x:c>
      <x:c r="J2" s="8" t="n">
        <x:f>E2*10000/(1+I2)^H2</x:f>
        <x:v>358140186.91588783</x:v>
      </x:c>
      <x:c r="K2" s="10" t="n">
        <x:f>I2+0.01</x:f>
        <x:v>0.08</x:v>
      </x:c>
      <x:c r="L2" s="8" t="n">
        <x:f>E2*10000/(1+K2)^H2</x:f>
        <x:v>354824074.07407403</x:v>
      </x:c>
      <x:c r="M2" s="4" t="str">
        <x:v>华夏华润商业REIT_2024年末评估_20250331.pdf，PDF第24页4.1；十年窗口及年末折现为委托给定研究口径</x:v>
      </x:c>
    </x:row>
    <x:row r="3" ht="42" customHeight="1">
      <x:c r="A3" s="4" t="str">
        <x:v>华夏华润商业REIT</x:v>
      </x:c>
      <x:c r="B3" s="4" t="n">
        <x:v>2026</x:v>
      </x:c>
      <x:c r="C3" s="11" t="n">
        <x:v>75459</x:v>
      </x:c>
      <x:c r="D3" s="11" t="n">
        <x:v>27174</x:v>
      </x:c>
      <x:c r="E3" s="11" t="n">
        <x:v>48285</x:v>
      </x:c>
      <x:c r="F3" s="11" t="n">
        <x:f>C3-D3</x:f>
        <x:v>48285</x:v>
      </x:c>
      <x:c r="G3" s="11" t="n">
        <x:f>F3-E3</x:f>
        <x:v>0</x:v>
      </x:c>
      <x:c r="H3" s="4" t="n">
        <x:v>2</x:v>
      </x:c>
      <x:c r="I3" s="10" t="n">
        <x:f>'评估摘要'!F2</x:f>
        <x:v>0.07</x:v>
      </x:c>
      <x:c r="J3" s="8" t="n">
        <x:f>E3*10000/(1+I3)^H3</x:f>
        <x:v>421739889.94672024</x:v>
      </x:c>
      <x:c r="K3" s="10" t="n">
        <x:f>I3+0.01</x:f>
        <x:v>0.08</x:v>
      </x:c>
      <x:c r="L3" s="8" t="n">
        <x:f>E3*10000/(1+K3)^H3</x:f>
        <x:v>413966049.382716</x:v>
      </x:c>
      <x:c r="M3" s="4" t="str">
        <x:v>华夏华润商业REIT_2024年末评估_20250331.pdf，PDF第24页4.1；十年窗口及年末折现为委托给定研究口径</x:v>
      </x:c>
    </x:row>
    <x:row r="4" ht="42" customHeight="1">
      <x:c r="A4" s="4" t="str">
        <x:v>华夏华润商业REIT</x:v>
      </x:c>
      <x:c r="B4" s="4" t="n">
        <x:v>2027</x:v>
      </x:c>
      <x:c r="C4" s="11" t="n">
        <x:v>78609</x:v>
      </x:c>
      <x:c r="D4" s="11" t="n">
        <x:v>28183</x:v>
      </x:c>
      <x:c r="E4" s="11" t="n">
        <x:v>50426</x:v>
      </x:c>
      <x:c r="F4" s="11" t="n">
        <x:f>C4-D4</x:f>
        <x:v>50426</x:v>
      </x:c>
      <x:c r="G4" s="11" t="n">
        <x:f>F4-E4</x:f>
        <x:v>0</x:v>
      </x:c>
      <x:c r="H4" s="4" t="n">
        <x:v>3</x:v>
      </x:c>
      <x:c r="I4" s="10" t="n">
        <x:f>'评估摘要'!F2</x:f>
        <x:v>0.07</x:v>
      </x:c>
      <x:c r="J4" s="8" t="n">
        <x:f>E4*10000/(1+I4)^H4</x:f>
        <x:v>411626367.4009809</x:v>
      </x:c>
      <x:c r="K4" s="10" t="n">
        <x:f>I4+0.01</x:f>
        <x:v>0.08</x:v>
      </x:c>
      <x:c r="L4" s="8" t="n">
        <x:f>E4*10000/(1+K4)^H4</x:f>
        <x:v>400297845.85683066</x:v>
      </x:c>
      <x:c r="M4" s="4" t="str">
        <x:v>华夏华润商业REIT_2024年末评估_20250331.pdf，PDF第24页4.1；十年窗口及年末折现为委托给定研究口径</x:v>
      </x:c>
    </x:row>
    <x:row r="5" ht="42" customHeight="1">
      <x:c r="A5" s="4" t="str">
        <x:v>华夏华润商业REIT</x:v>
      </x:c>
      <x:c r="B5" s="4" t="n">
        <x:v>2028</x:v>
      </x:c>
      <x:c r="C5" s="11" t="n">
        <x:v>81995</x:v>
      </x:c>
      <x:c r="D5" s="11" t="n">
        <x:v>28868</x:v>
      </x:c>
      <x:c r="E5" s="11" t="n">
        <x:v>53126</x:v>
      </x:c>
      <x:c r="F5" s="11" t="n">
        <x:f>C5-D5</x:f>
        <x:v>53127</x:v>
      </x:c>
      <x:c r="G5" s="11" t="n">
        <x:f>F5-E5</x:f>
        <x:v>1</x:v>
      </x:c>
      <x:c r="H5" s="4" t="n">
        <x:v>4</x:v>
      </x:c>
      <x:c r="I5" s="10" t="n">
        <x:f>'评估摘要'!F2</x:f>
        <x:v>0.07</x:v>
      </x:c>
      <x:c r="J5" s="8" t="n">
        <x:f>E5*10000/(1+I5)^H5</x:f>
        <x:v>405295710.3523682</x:v>
      </x:c>
      <x:c r="K5" s="10" t="n">
        <x:f>I5+0.01</x:f>
        <x:v>0.08</x:v>
      </x:c>
      <x:c r="L5" s="8" t="n">
        <x:f>E5*10000/(1+K5)^H5</x:f>
        <x:v>390491959.59664375</x:v>
      </x:c>
      <x:c r="M5" s="4" t="str">
        <x:v>华夏华润商业REIT_2024年末评估_20250331.pdf，PDF第24页4.1；十年窗口及年末折现为委托给定研究口径</x:v>
      </x:c>
    </x:row>
    <x:row r="6" ht="42" customHeight="1">
      <x:c r="A6" s="4" t="str">
        <x:v>华夏华润商业REIT</x:v>
      </x:c>
      <x:c r="B6" s="4" t="n">
        <x:v>2029</x:v>
      </x:c>
      <x:c r="C6" s="11" t="n">
        <x:v>86487</x:v>
      </x:c>
      <x:c r="D6" s="11" t="n">
        <x:v>30128</x:v>
      </x:c>
      <x:c r="E6" s="11" t="n">
        <x:v>56360</x:v>
      </x:c>
      <x:c r="F6" s="11" t="n">
        <x:f>C6-D6</x:f>
        <x:v>56359</x:v>
      </x:c>
      <x:c r="G6" s="11" t="n">
        <x:f>F6-E6</x:f>
        <x:v>-1</x:v>
      </x:c>
      <x:c r="H6" s="4" t="n">
        <x:v>5</x:v>
      </x:c>
      <x:c r="I6" s="10" t="n">
        <x:f>'评估摘要'!F2</x:f>
        <x:v>0.07</x:v>
      </x:c>
      <x:c r="J6" s="8" t="n">
        <x:f>E6*10000/(1+I6)^H6</x:f>
        <x:v>401839010.75699544</x:v>
      </x:c>
      <x:c r="K6" s="10" t="n">
        <x:f>I6+0.01</x:f>
        <x:v>0.08</x:v>
      </x:c>
      <x:c r="L6" s="8" t="n">
        <x:f>E6*10000/(1+K6)^H6</x:f>
        <x:v>383576689.84822315</x:v>
      </x:c>
      <x:c r="M6" s="4" t="str">
        <x:v>华夏华润商业REIT_2024年末评估_20250331.pdf，PDF第24页4.1；十年窗口及年末折现为委托给定研究口径</x:v>
      </x:c>
    </x:row>
    <x:row r="7" ht="42" customHeight="1">
      <x:c r="A7" s="4" t="str">
        <x:v>华夏华润商业REIT</x:v>
      </x:c>
      <x:c r="B7" s="4" t="n">
        <x:v>2030</x:v>
      </x:c>
      <x:c r="C7" s="11" t="n">
        <x:v>90520</x:v>
      </x:c>
      <x:c r="D7" s="11" t="n">
        <x:v>31303</x:v>
      </x:c>
      <x:c r="E7" s="11" t="n">
        <x:v>59217</x:v>
      </x:c>
      <x:c r="F7" s="11" t="n">
        <x:f>C7-D7</x:f>
        <x:v>59217</x:v>
      </x:c>
      <x:c r="G7" s="11" t="n">
        <x:f>F7-E7</x:f>
        <x:v>0</x:v>
      </x:c>
      <x:c r="H7" s="4" t="n">
        <x:v>6</x:v>
      </x:c>
      <x:c r="I7" s="10" t="n">
        <x:f>'评估摘要'!F2</x:f>
        <x:v>0.07</x:v>
      </x:c>
      <x:c r="J7" s="8" t="n">
        <x:f>E7*10000/(1+I7)^H7</x:f>
        <x:v>394587874.67742413</x:v>
      </x:c>
      <x:c r="K7" s="10" t="n">
        <x:f>I7+0.01</x:f>
        <x:v>0.08</x:v>
      </x:c>
      <x:c r="L7" s="8" t="n">
        <x:f>E7*10000/(1+K7)^H7</x:f>
        <x:v>373167547.95136803</x:v>
      </x:c>
      <x:c r="M7" s="4" t="str">
        <x:v>华夏华润商业REIT_2024年末评估_20250331.pdf，PDF第24页4.1；十年窗口及年末折现为委托给定研究口径</x:v>
      </x:c>
    </x:row>
    <x:row r="8" ht="42" customHeight="1">
      <x:c r="A8" s="4" t="str">
        <x:v>华夏华润商业REIT</x:v>
      </x:c>
      <x:c r="B8" s="4" t="n">
        <x:v>2031</x:v>
      </x:c>
      <x:c r="C8" s="11" t="n">
        <x:v>94021</x:v>
      </x:c>
      <x:c r="D8" s="11" t="n">
        <x:v>32409</x:v>
      </x:c>
      <x:c r="E8" s="11" t="n">
        <x:v>61612</x:v>
      </x:c>
      <x:c r="F8" s="11" t="n">
        <x:f>C8-D8</x:f>
        <x:v>61612</x:v>
      </x:c>
      <x:c r="G8" s="11" t="n">
        <x:f>F8-E8</x:f>
        <x:v>0</x:v>
      </x:c>
      <x:c r="H8" s="4" t="n">
        <x:v>7</x:v>
      </x:c>
      <x:c r="I8" s="10" t="n">
        <x:f>'评估摘要'!F2</x:f>
        <x:v>0.07</x:v>
      </x:c>
      <x:c r="J8" s="8" t="n">
        <x:f>E8*10000/(1+I8)^H8</x:f>
        <x:v>383688570.96993417</x:v>
      </x:c>
      <x:c r="K8" s="10" t="n">
        <x:f>I8+0.01</x:f>
        <x:v>0.08</x:v>
      </x:c>
      <x:c r="L8" s="8" t="n">
        <x:f>E8*10000/(1+K8)^H8</x:f>
        <x:v>359500102.3289059</x:v>
      </x:c>
      <x:c r="M8" s="4" t="str">
        <x:v>华夏华润商业REIT_2024年末评估_20250331.pdf，PDF第24页4.1；十年窗口及年末折现为委托给定研究口径</x:v>
      </x:c>
    </x:row>
    <x:row r="9" ht="42" customHeight="1">
      <x:c r="A9" s="4" t="str">
        <x:v>华夏华润商业REIT</x:v>
      </x:c>
      <x:c r="B9" s="4" t="n">
        <x:v>2032</x:v>
      </x:c>
      <x:c r="C9" s="11" t="n">
        <x:v>96842</x:v>
      </x:c>
      <x:c r="D9" s="11" t="n">
        <x:v>33342</x:v>
      </x:c>
      <x:c r="E9" s="11" t="n">
        <x:v>63500</x:v>
      </x:c>
      <x:c r="F9" s="11" t="n">
        <x:f>C9-D9</x:f>
        <x:v>63500</x:v>
      </x:c>
      <x:c r="G9" s="11" t="n">
        <x:f>F9-E9</x:f>
        <x:v>0</x:v>
      </x:c>
      <x:c r="H9" s="4" t="n">
        <x:v>8</x:v>
      </x:c>
      <x:c r="I9" s="10" t="n">
        <x:f>'评估摘要'!F2</x:f>
        <x:v>0.07</x:v>
      </x:c>
      <x:c r="J9" s="8" t="n">
        <x:f>E9*10000/(1+I9)^H9</x:f>
        <x:v>369575781.39879924</x:v>
      </x:c>
      <x:c r="K9" s="10" t="n">
        <x:f>I9+0.01</x:f>
        <x:v>0.08</x:v>
      </x:c>
      <x:c r="L9" s="8" t="n">
        <x:f>E9*10000/(1+K9)^H9</x:f>
        <x:v>343070741.6587546</x:v>
      </x:c>
      <x:c r="M9" s="4" t="str">
        <x:v>华夏华润商业REIT_2024年末评估_20250331.pdf，PDF第24页4.1；十年窗口及年末折现为委托给定研究口径</x:v>
      </x:c>
    </x:row>
    <x:row r="10" ht="42" customHeight="1">
      <x:c r="A10" s="4" t="str">
        <x:v>华夏华润商业REIT</x:v>
      </x:c>
      <x:c r="B10" s="4" t="n">
        <x:v>2033</x:v>
      </x:c>
      <x:c r="C10" s="11" t="n">
        <x:v>99185</x:v>
      </x:c>
      <x:c r="D10" s="11" t="n">
        <x:v>34158</x:v>
      </x:c>
      <x:c r="E10" s="11" t="n">
        <x:v>65027</x:v>
      </x:c>
      <x:c r="F10" s="11" t="n">
        <x:f>C10-D10</x:f>
        <x:v>65027</x:v>
      </x:c>
      <x:c r="G10" s="11" t="n">
        <x:f>F10-E10</x:f>
        <x:v>0</x:v>
      </x:c>
      <x:c r="H10" s="4" t="n">
        <x:v>9</x:v>
      </x:c>
      <x:c r="I10" s="10" t="n">
        <x:f>'评估摘要'!F2</x:f>
        <x:v>0.07</x:v>
      </x:c>
      <x:c r="J10" s="8" t="n">
        <x:f>E10*10000/(1+I10)^H10</x:f>
        <x:v>353703794.7901938</x:v>
      </x:c>
      <x:c r="K10" s="10" t="n">
        <x:f>I10+0.01</x:f>
        <x:v>0.08</x:v>
      </x:c>
      <x:c r="L10" s="8" t="n">
        <x:f>E10*10000/(1+K10)^H10</x:f>
        <x:v>325296895.8565738</x:v>
      </x:c>
      <x:c r="M10" s="4" t="str">
        <x:v>华夏华润商业REIT_2024年末评估_20250331.pdf，PDF第24页4.1；十年窗口及年末折现为委托给定研究口径</x:v>
      </x:c>
    </x:row>
    <x:row r="11" ht="42" customHeight="1">
      <x:c r="A11" s="4" t="str">
        <x:v>华夏华润商业REIT</x:v>
      </x:c>
      <x:c r="B11" s="4" t="n">
        <x:v>2034</x:v>
      </x:c>
      <x:c r="C11" s="11" t="n">
        <x:v>102567</x:v>
      </x:c>
      <x:c r="D11" s="11" t="n">
        <x:v>35138</x:v>
      </x:c>
      <x:c r="E11" s="11" t="n">
        <x:v>67429</x:v>
      </x:c>
      <x:c r="F11" s="11" t="n">
        <x:f>C11-D11</x:f>
        <x:v>67429</x:v>
      </x:c>
      <x:c r="G11" s="11" t="n">
        <x:f>F11-E11</x:f>
        <x:v>0</x:v>
      </x:c>
      <x:c r="H11" s="4" t="n">
        <x:v>10</x:v>
      </x:c>
      <x:c r="I11" s="10" t="n">
        <x:f>'评估摘要'!F2</x:f>
        <x:v>0.07</x:v>
      </x:c>
      <x:c r="J11" s="8" t="n">
        <x:f>E11*10000/(1+I11)^H11</x:f>
        <x:v>342774844.1935187</x:v>
      </x:c>
      <x:c r="K11" s="10" t="n">
        <x:f>I11+0.01</x:f>
        <x:v>0.08</x:v>
      </x:c>
      <x:c r="L11" s="8" t="n">
        <x:f>E11*10000/(1+K11)^H11</x:f>
        <x:v>312326737.08062166</x:v>
      </x:c>
      <x:c r="M11" s="4" t="str">
        <x:v>华夏华润商业REIT_2024年末评估_20250331.pdf，PDF第24页4.1；十年窗口及年末折现为委托给定研究口径</x:v>
      </x:c>
    </x:row>
    <x:row r="12" ht="42" customHeight="1">
      <x:c r="A12" s="4" t="str">
        <x:v>华夏合肥高新REIT</x:v>
      </x:c>
      <x:c r="B12" s="4" t="n">
        <x:v>2025</x:v>
      </x:c>
      <x:c r="C12" s="11" t="n">
        <x:v>9502</x:v>
      </x:c>
      <x:c r="D12" s="11" t="n">
        <x:v>3705</x:v>
      </x:c>
      <x:c r="E12" s="11" t="n">
        <x:v>5797</x:v>
      </x:c>
      <x:c r="F12" s="11" t="n">
        <x:f>C12-D12</x:f>
        <x:v>5797</x:v>
      </x:c>
      <x:c r="G12" s="11" t="n">
        <x:f>F12-E12</x:f>
        <x:v>0</x:v>
      </x:c>
      <x:c r="H12" s="4" t="n">
        <x:v>1</x:v>
      </x:c>
      <x:c r="I12" s="10" t="n">
        <x:f>'评估摘要'!F3</x:f>
        <x:v>0.065</x:v>
      </x:c>
      <x:c r="J12" s="8" t="n">
        <x:f>E12*10000/(1+I12)^H12</x:f>
        <x:v>54431924.88262911</x:v>
      </x:c>
      <x:c r="K12" s="10" t="n">
        <x:f>I12+0.01</x:f>
        <x:v>0.075</x:v>
      </x:c>
      <x:c r="L12" s="8" t="n">
        <x:f>E12*10000/(1+K12)^H12</x:f>
        <x:v>53925581.39534884</x:v>
      </x:c>
      <x:c r="M12" s="4" t="str">
        <x:v>华夏合肥高新REIT_2024年末评估_20250331.pdf，PDF第24页4.1；十年窗口及年末折现为委托给定研究口径</x:v>
      </x:c>
    </x:row>
    <x:row r="13" ht="42" customHeight="1">
      <x:c r="A13" s="4" t="str">
        <x:v>华夏合肥高新REIT</x:v>
      </x:c>
      <x:c r="B13" s="4" t="n">
        <x:v>2026</x:v>
      </x:c>
      <x:c r="C13" s="11" t="n">
        <x:v>9843</x:v>
      </x:c>
      <x:c r="D13" s="11" t="n">
        <x:v>3328</x:v>
      </x:c>
      <x:c r="E13" s="11" t="n">
        <x:v>6515</x:v>
      </x:c>
      <x:c r="F13" s="11" t="n">
        <x:f>C13-D13</x:f>
        <x:v>6515</x:v>
      </x:c>
      <x:c r="G13" s="11" t="n">
        <x:f>F13-E13</x:f>
        <x:v>0</x:v>
      </x:c>
      <x:c r="H13" s="4" t="n">
        <x:v>2</x:v>
      </x:c>
      <x:c r="I13" s="10" t="n">
        <x:f>'评估摘要'!F3</x:f>
        <x:v>0.065</x:v>
      </x:c>
      <x:c r="J13" s="8" t="n">
        <x:f>E13*10000/(1+I13)^H13</x:f>
        <x:v>57440102.27247681</x:v>
      </x:c>
      <x:c r="K13" s="10" t="n">
        <x:f>I13+0.01</x:f>
        <x:v>0.075</x:v>
      </x:c>
      <x:c r="L13" s="8" t="n">
        <x:f>E13*10000/(1+K13)^H13</x:f>
        <x:v>56376419.68631693</x:v>
      </x:c>
      <x:c r="M13" s="4" t="str">
        <x:v>华夏合肥高新REIT_2024年末评估_20250331.pdf，PDF第24页4.1；十年窗口及年末折现为委托给定研究口径</x:v>
      </x:c>
    </x:row>
    <x:row r="14" ht="42" customHeight="1">
      <x:c r="A14" s="4" t="str">
        <x:v>华夏合肥高新REIT</x:v>
      </x:c>
      <x:c r="B14" s="4" t="n">
        <x:v>2027</x:v>
      </x:c>
      <x:c r="C14" s="11" t="n">
        <x:v>10193</x:v>
      </x:c>
      <x:c r="D14" s="11" t="n">
        <x:v>3441</x:v>
      </x:c>
      <x:c r="E14" s="11" t="n">
        <x:v>6752</x:v>
      </x:c>
      <x:c r="F14" s="11" t="n">
        <x:f>C14-D14</x:f>
        <x:v>6752</x:v>
      </x:c>
      <x:c r="G14" s="11" t="n">
        <x:f>F14-E14</x:f>
        <x:v>0</x:v>
      </x:c>
      <x:c r="H14" s="4" t="n">
        <x:v>3</x:v>
      </x:c>
      <x:c r="I14" s="10" t="n">
        <x:f>'评估摘要'!F3</x:f>
        <x:v>0.065</x:v>
      </x:c>
      <x:c r="J14" s="8" t="n">
        <x:f>E14*10000/(1+I14)^H14</x:f>
        <x:v>55896370.6785372</x:v>
      </x:c>
      <x:c r="K14" s="10" t="n">
        <x:f>I14+0.01</x:f>
        <x:v>0.075</x:v>
      </x:c>
      <x:c r="L14" s="8" t="n">
        <x:f>E14*10000/(1+K14)^H14</x:f>
        <x:v>54350937.653288394</x:v>
      </x:c>
      <x:c r="M14" s="4" t="str">
        <x:v>华夏合肥高新REIT_2024年末评估_20250331.pdf，PDF第24页4.1；十年窗口及年末折现为委托给定研究口径</x:v>
      </x:c>
    </x:row>
    <x:row r="15" ht="42" customHeight="1">
      <x:c r="A15" s="4" t="str">
        <x:v>华夏合肥高新REIT</x:v>
      </x:c>
      <x:c r="B15" s="4" t="n">
        <x:v>2028</x:v>
      </x:c>
      <x:c r="C15" s="11" t="n">
        <x:v>10613</x:v>
      </x:c>
      <x:c r="D15" s="11" t="n">
        <x:v>3557</x:v>
      </x:c>
      <x:c r="E15" s="11" t="n">
        <x:v>7056</x:v>
      </x:c>
      <x:c r="F15" s="11" t="n">
        <x:f>C15-D15</x:f>
        <x:v>7056</x:v>
      </x:c>
      <x:c r="G15" s="11" t="n">
        <x:f>F15-E15</x:f>
        <x:v>0</x:v>
      </x:c>
      <x:c r="H15" s="4" t="n">
        <x:v>4</x:v>
      </x:c>
      <x:c r="I15" s="10" t="n">
        <x:f>'评估摘要'!F3</x:f>
        <x:v>0.065</x:v>
      </x:c>
      <x:c r="J15" s="8" t="n">
        <x:f>E15*10000/(1+I15)^H15</x:f>
        <x:v>54847917.29353827</x:v>
      </x:c>
      <x:c r="K15" s="10" t="n">
        <x:f>I15+0.01</x:f>
        <x:v>0.075</x:v>
      </x:c>
      <x:c r="L15" s="8" t="n">
        <x:f>E15*10000/(1+K15)^H15</x:f>
        <x:v>52835365.381021015</x:v>
      </x:c>
      <x:c r="M15" s="4" t="str">
        <x:v>华夏合肥高新REIT_2024年末评估_20250331.pdf，PDF第24页4.1；十年窗口及年末折现为委托给定研究口径</x:v>
      </x:c>
    </x:row>
    <x:row r="16" ht="42" customHeight="1">
      <x:c r="A16" s="4" t="str">
        <x:v>华夏合肥高新REIT</x:v>
      </x:c>
      <x:c r="B16" s="4" t="n">
        <x:v>2029</x:v>
      </x:c>
      <x:c r="C16" s="11" t="n">
        <x:v>11034</x:v>
      </x:c>
      <x:c r="D16" s="11" t="n">
        <x:v>3676</x:v>
      </x:c>
      <x:c r="E16" s="11" t="n">
        <x:v>7358</x:v>
      </x:c>
      <x:c r="F16" s="11" t="n">
        <x:f>C16-D16</x:f>
        <x:v>7358</x:v>
      </x:c>
      <x:c r="G16" s="11" t="n">
        <x:f>F16-E16</x:f>
        <x:v>0</x:v>
      </x:c>
      <x:c r="H16" s="4" t="n">
        <x:v>5</x:v>
      </x:c>
      <x:c r="I16" s="10" t="n">
        <x:f>'评估摘要'!F3</x:f>
        <x:v>0.065</x:v>
      </x:c>
      <x:c r="J16" s="8" t="n">
        <x:f>E16*10000/(1+I16)^H16</x:f>
        <x:v>53704631.95121186</x:v>
      </x:c>
      <x:c r="K16" s="10" t="n">
        <x:f>I16+0.01</x:f>
        <x:v>0.075</x:v>
      </x:c>
      <x:c r="L16" s="8" t="n">
        <x:f>E16*10000/(1+K16)^H16</x:f>
        <x:v>51252784.16832156</x:v>
      </x:c>
      <x:c r="M16" s="4" t="str">
        <x:v>华夏合肥高新REIT_2024年末评估_20250331.pdf，PDF第24页4.1；十年窗口及年末折现为委托给定研究口径</x:v>
      </x:c>
    </x:row>
    <x:row r="17" ht="42" customHeight="1">
      <x:c r="A17" s="4" t="str">
        <x:v>华夏合肥高新REIT</x:v>
      </x:c>
      <x:c r="B17" s="4" t="n">
        <x:v>2030</x:v>
      </x:c>
      <x:c r="C17" s="11" t="n">
        <x:v>11636</x:v>
      </x:c>
      <x:c r="D17" s="11" t="n">
        <x:v>3831</x:v>
      </x:c>
      <x:c r="E17" s="11" t="n">
        <x:v>7805</x:v>
      </x:c>
      <x:c r="F17" s="11" t="n">
        <x:f>C17-D17</x:f>
        <x:v>7805</x:v>
      </x:c>
      <x:c r="G17" s="11" t="n">
        <x:f>F17-E17</x:f>
        <x:v>0</x:v>
      </x:c>
      <x:c r="H17" s="4" t="n">
        <x:v>6</x:v>
      </x:c>
      <x:c r="I17" s="10" t="n">
        <x:f>'评估摘要'!F3</x:f>
        <x:v>0.065</x:v>
      </x:c>
      <x:c r="J17" s="8" t="n">
        <x:f>E17*10000/(1+I17)^H17</x:f>
        <x:v>53490327.9722634</x:v>
      </x:c>
      <x:c r="K17" s="10" t="n">
        <x:f>I17+0.01</x:f>
        <x:v>0.075</x:v>
      </x:c>
      <x:c r="L17" s="8" t="n">
        <x:f>E17*10000/(1+K17)^H17</x:f>
        <x:v>50573396.516210765</x:v>
      </x:c>
      <x:c r="M17" s="4" t="str">
        <x:v>华夏合肥高新REIT_2024年末评估_20250331.pdf，PDF第24页4.1；十年窗口及年末折现为委托给定研究口径</x:v>
      </x:c>
    </x:row>
    <x:row r="18" ht="42" customHeight="1">
      <x:c r="A18" s="4" t="str">
        <x:v>华夏合肥高新REIT</x:v>
      </x:c>
      <x:c r="B18" s="4" t="n">
        <x:v>2031</x:v>
      </x:c>
      <x:c r="C18" s="11" t="n">
        <x:v>11982</x:v>
      </x:c>
      <x:c r="D18" s="11" t="n">
        <x:v>3939</x:v>
      </x:c>
      <x:c r="E18" s="11" t="n">
        <x:v>8043</x:v>
      </x:c>
      <x:c r="F18" s="11" t="n">
        <x:f>C18-D18</x:f>
        <x:v>8043</x:v>
      </x:c>
      <x:c r="G18" s="11" t="n">
        <x:f>F18-E18</x:f>
        <x:v>0</x:v>
      </x:c>
      <x:c r="H18" s="4" t="n">
        <x:v>7</x:v>
      </x:c>
      <x:c r="I18" s="10" t="n">
        <x:f>'评估摘要'!F3</x:f>
        <x:v>0.065</x:v>
      </x:c>
      <x:c r="J18" s="8" t="n">
        <x:f>E18*10000/(1+I18)^H18</x:f>
        <x:v>51757204.85915969</x:v>
      </x:c>
      <x:c r="K18" s="10" t="n">
        <x:f>I18+0.01</x:f>
        <x:v>0.075</x:v>
      </x:c>
      <x:c r="L18" s="8" t="n">
        <x:f>E18*10000/(1+K18)^H18</x:f>
        <x:v>48479576.67921675</x:v>
      </x:c>
      <x:c r="M18" s="4" t="str">
        <x:v>华夏合肥高新REIT_2024年末评估_20250331.pdf，PDF第24页4.1；十年窗口及年末折现为委托给定研究口径</x:v>
      </x:c>
    </x:row>
    <x:row r="19" ht="42" customHeight="1">
      <x:c r="A19" s="4" t="str">
        <x:v>华夏合肥高新REIT</x:v>
      </x:c>
      <x:c r="B19" s="4" t="n">
        <x:v>2032</x:v>
      </x:c>
      <x:c r="C19" s="11" t="n">
        <x:v>12348</x:v>
      </x:c>
      <x:c r="D19" s="11" t="n">
        <x:v>4054</x:v>
      </x:c>
      <x:c r="E19" s="11" t="n">
        <x:v>8294</x:v>
      </x:c>
      <x:c r="F19" s="11" t="n">
        <x:f>C19-D19</x:f>
        <x:v>8294</x:v>
      </x:c>
      <x:c r="G19" s="11" t="n">
        <x:f>F19-E19</x:f>
        <x:v>0</x:v>
      </x:c>
      <x:c r="H19" s="4" t="n">
        <x:v>8</x:v>
      </x:c>
      <x:c r="I19" s="10" t="n">
        <x:f>'评估摘要'!F3</x:f>
        <x:v>0.065</x:v>
      </x:c>
      <x:c r="J19" s="8" t="n">
        <x:f>E19*10000/(1+I19)^H19</x:f>
        <x:v>50114934.70271825</x:v>
      </x:c>
      <x:c r="K19" s="10" t="n">
        <x:f>I19+0.01</x:f>
        <x:v>0.075</x:v>
      </x:c>
      <x:c r="L19" s="8" t="n">
        <x:f>E19*10000/(1+K19)^H19</x:f>
        <x:v>46504643.237646915</x:v>
      </x:c>
      <x:c r="M19" s="4" t="str">
        <x:v>华夏合肥高新REIT_2024年末评估_20250331.pdf，PDF第24页4.1；十年窗口及年末折现为委托给定研究口径</x:v>
      </x:c>
    </x:row>
    <x:row r="20" ht="42" customHeight="1">
      <x:c r="A20" s="4" t="str">
        <x:v>华夏合肥高新REIT</x:v>
      </x:c>
      <x:c r="B20" s="4" t="n">
        <x:v>2033</x:v>
      </x:c>
      <x:c r="C20" s="11" t="n">
        <x:v>12735</x:v>
      </x:c>
      <x:c r="D20" s="11" t="n">
        <x:v>4176</x:v>
      </x:c>
      <x:c r="E20" s="11" t="n">
        <x:v>8559</x:v>
      </x:c>
      <x:c r="F20" s="11" t="n">
        <x:f>C20-D20</x:f>
        <x:v>8559</x:v>
      </x:c>
      <x:c r="G20" s="11" t="n">
        <x:f>F20-E20</x:f>
        <x:v>0</x:v>
      </x:c>
      <x:c r="H20" s="4" t="n">
        <x:v>9</x:v>
      </x:c>
      <x:c r="I20" s="10" t="n">
        <x:f>'评估摘要'!F3</x:f>
        <x:v>0.065</x:v>
      </x:c>
      <x:c r="J20" s="8" t="n">
        <x:f>E20*10000/(1+I20)^H20</x:f>
        <x:v>48559762.769915186</x:v>
      </x:c>
      <x:c r="K20" s="10" t="n">
        <x:f>I20+0.01</x:f>
        <x:v>0.075</x:v>
      </x:c>
      <x:c r="L20" s="8" t="n">
        <x:f>E20*10000/(1+K20)^H20</x:f>
        <x:v>44642329.447571516</x:v>
      </x:c>
      <x:c r="M20" s="4" t="str">
        <x:v>华夏合肥高新REIT_2024年末评估_20250331.pdf，PDF第24页4.1；十年窗口及年末折现为委托给定研究口径</x:v>
      </x:c>
    </x:row>
    <x:row r="21" ht="42" customHeight="1">
      <x:c r="A21" s="4" t="str">
        <x:v>华夏合肥高新REIT</x:v>
      </x:c>
      <x:c r="B21" s="4" t="n">
        <x:v>2034</x:v>
      </x:c>
      <x:c r="C21" s="11" t="n">
        <x:v>13114</x:v>
      </x:c>
      <x:c r="D21" s="11" t="n">
        <x:v>4296</x:v>
      </x:c>
      <x:c r="E21" s="11" t="n">
        <x:v>8818</x:v>
      </x:c>
      <x:c r="F21" s="11" t="n">
        <x:f>C21-D21</x:f>
        <x:v>8818</x:v>
      </x:c>
      <x:c r="G21" s="11" t="n">
        <x:f>F21-E21</x:f>
        <x:v>0</x:v>
      </x:c>
      <x:c r="H21" s="4" t="n">
        <x:v>10</x:v>
      </x:c>
      <x:c r="I21" s="10" t="n">
        <x:f>'评估摘要'!F3</x:f>
        <x:v>0.065</x:v>
      </x:c>
      <x:c r="J21" s="8" t="n">
        <x:f>E21*10000/(1+I21)^H21</x:f>
        <x:v>46975781.81220023</x:v>
      </x:c>
      <x:c r="K21" s="10" t="n">
        <x:f>I21+0.01</x:f>
        <x:v>0.075</x:v>
      </x:c>
      <x:c r="L21" s="8" t="n">
        <x:f>E21*10000/(1+K21)^H21</x:f>
        <x:v>42784400.59762313</x:v>
      </x:c>
      <x:c r="M21" s="4" t="str">
        <x:v>华夏合肥高新REIT_2024年末评估_20250331.pdf，PDF第24页4.1；十年窗口及年末折现为委托给定研究口径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27" hidden="0" customWidth="1"/>
    <x:col min="7" max="7" width="38" hidden="0" customWidth="1"/>
    <x:col min="8" max="8" width="110" hidden="0" customWidth="1"/>
    <x:col min="9" max="9" width="105" hidden="0" customWidth="1"/>
  </x:cols>
  <x:sheetData>
    <x:row r="1" ht="36" customHeight="1">
      <x:c r="A1" s="6" t="str">
        <x:v>基金</x:v>
      </x:c>
      <x:c r="B1" s="6" t="str">
        <x:v>十年名义净收益（元）</x:v>
      </x:c>
      <x:c r="C1" s="6" t="str">
        <x:v>原利率十年PV（元）</x:v>
      </x:c>
      <x:c r="D1" s="6" t="str">
        <x:v>提高1个百分点PV（元）</x:v>
      </x:c>
      <x:c r="E1" s="6" t="str">
        <x:v>现值变化（元）</x:v>
      </x:c>
      <x:c r="F1" s="6" t="str">
        <x:v>现值变化率</x:v>
      </x:c>
      <x:c r="G1" s="6" t="str">
        <x:v>项目评估价值（元）</x:v>
      </x:c>
      <x:c r="H1" s="6" t="str">
        <x:v>窗口边界</x:v>
      </x:c>
      <x:c r="I1" s="6" t="str">
        <x:v>出处</x:v>
      </x:c>
    </x:row>
    <x:row r="2" ht="32" customHeight="1">
      <x:c r="A2" s="4" t="str">
        <x:v>华夏华润商业REIT</x:v>
      </x:c>
      <x:c r="B2" s="8" t="n">
        <x:f>SUM('估值窗口'!E2:E11)*10000</x:f>
        <x:v>5633030000</x:v>
      </x:c>
      <x:c r="C2" s="8" t="n">
        <x:f>SUM('估值窗口'!J2:J11)</x:f>
        <x:v>3842972031.4028225</x:v>
      </x:c>
      <x:c r="D2" s="8" t="n">
        <x:f>SUM('估值窗口'!L2:L11)</x:f>
        <x:v>3656518643.634712</x:v>
      </x:c>
      <x:c r="E2" s="8" t="n">
        <x:f>D2-C2</x:f>
        <x:v>-186453387.76811028</x:v>
      </x:c>
      <x:c r="F2" s="10" t="n">
        <x:f>E2/C2</x:f>
        <x:v>-0.04851801840984206</x:v>
      </x:c>
      <x:c r="G2" s="8" t="n">
        <x:f>'评估摘要'!E2</x:f>
        <x:v>8150000000</x:v>
      </x:c>
      <x:c r="H2" s="4" t="str">
        <x:v>仅2025—2034十年、年末现金、无终值；不是完整评估重建或基金分派预测</x:v>
      </x:c>
      <x:c r="I2" s="4" t="str">
        <x:v>华夏华润商业REIT_2024年末评估_20250331.pdf，PDF第22、24页及委托研究窗口</x:v>
      </x:c>
    </x:row>
    <x:row r="3" ht="32" customHeight="1">
      <x:c r="A3" s="4" t="str">
        <x:v>华夏合肥高新REIT</x:v>
      </x:c>
      <x:c r="B3" s="8" t="n">
        <x:f>SUM('估值窗口'!E12:E21)*10000</x:f>
        <x:v>749970000</x:v>
      </x:c>
      <x:c r="C3" s="8" t="n">
        <x:f>SUM('估值窗口'!J12:J21)</x:f>
        <x:v>527218959.19465</x:v>
      </x:c>
      <x:c r="D3" s="8" t="n">
        <x:f>SUM('估值窗口'!L12:L21)</x:f>
        <x:v>501725434.76256585</x:v>
      </x:c>
      <x:c r="E3" s="8" t="n">
        <x:f>D3-C3</x:f>
        <x:v>-25493524.432084143</x:v>
      </x:c>
      <x:c r="F3" s="10" t="n">
        <x:f>E3/C3</x:f>
        <x:v>-0.048354718637255795</x:v>
      </x:c>
      <x:c r="G3" s="8" t="n">
        <x:f>SUM('评估摘要'!E3:E4)</x:f>
        <x:v>1322000000</x:v>
      </x:c>
      <x:c r="H3" s="4" t="str">
        <x:v>仅2025—2034十年、年末现金、无终值；不是完整评估重建或基金分派预测</x:v>
      </x:c>
      <x:c r="I3" s="4" t="str">
        <x:v>华夏合肥高新REIT_2024年末评估_20250331.pdf，PDF第22、24页及委托研究窗口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42" hidden="0" customWidth="1"/>
    <x:col min="3" max="3" width="115" hidden="0" customWidth="1"/>
    <x:col min="4" max="4" width="115" hidden="0" customWidth="1"/>
  </x:cols>
  <x:sheetData>
    <x:row r="1" ht="36" customHeight="1">
      <x:c r="A1" s="6" t="str">
        <x:v>待核事项</x:v>
      </x:c>
      <x:c r="B1" s="6" t="str">
        <x:v>责任岗位</x:v>
      </x:c>
      <x:c r="C1" s="6" t="str">
        <x:v>所需资料</x:v>
      </x:c>
      <x:c r="D1" s="6" t="str">
        <x:v>再议条件</x:v>
      </x:c>
    </x:row>
    <x:row r="2" ht="32" customHeight="1">
      <x:c r="A2" s="4" t="str">
        <x:v>收支及基金层现金</x:v>
      </x:c>
      <x:c r="B2" s="4" t="str">
        <x:v>财务、资金及项目运营</x:v>
      </x:c>
      <x:c r="C2" s="4" t="str">
        <x:v>银行与受限余额、应收回款、投资回收及内部往来对账</x:v>
      </x:c>
      <x:c r="D2" s="4" t="str">
        <x:v>按主体核实可用现金和外部经营收支后更新结论</x:v>
      </x:c>
    </x:row>
    <x:row r="3" ht="32" customHeight="1">
      <x:c r="A3" s="4" t="str">
        <x:v>分派执行</x:v>
      </x:c>
      <x:c r="B3" s="4" t="str">
        <x:v>基金财务、运营及登记结算</x:v>
      </x:c>
      <x:c r="C3" s="4" t="str">
        <x:v>分派公告、所涉收益期、登记基数、支付与期后分派台账</x:v>
      </x:c>
      <x:c r="D3" s="4" t="str">
        <x:v>归属期和支付状态对应完整，避免仅用同年支付比率判断</x:v>
      </x:c>
    </x:row>
    <x:row r="4" ht="32" customHeight="1">
      <x:c r="A4" s="4" t="str">
        <x:v>资产运营及重大支出</x:v>
      </x:c>
      <x:c r="B4" s="4" t="str">
        <x:v>项目运营和基础设施研究</x:v>
      </x:c>
      <x:c r="C4" s="4" t="str">
        <x:v>收缴/车流、维护及改造支出计划、合同与融资落实</x:v>
      </x:c>
      <x:c r="D4" s="4" t="str">
        <x:v>新范围和实际运营天数可比后再评持续现金质量</x:v>
      </x:c>
    </x:row>
    <x:row r="5" ht="32" customHeight="1">
      <x:c r="A5" s="4" t="str">
        <x:v>估值与敏感性</x:v>
      </x:c>
      <x:c r="B5" s="4" t="str">
        <x:v>评估、财务及基金研究</x:v>
      </x:c>
      <x:c r="C5" s="4" t="str">
        <x:v>完整估值现金模型、剩余期限、税费资本支出及资产负债范围</x:v>
      </x:c>
      <x:c r="D5" s="4" t="str">
        <x:v>原报告条件与实际变化核明；局部窗口不替代正式估值或分派预算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0" hidden="0" customWidth="1"/>
    <x:col min="2" max="2" width="72" hidden="0" customWidth="1"/>
    <x:col min="3" max="3" width="100" hidden="0" customWidth="1"/>
  </x:cols>
  <x:sheetData>
    <x:row r="1" ht="36" customHeight="1">
      <x:c r="A1" s="6" t="str">
        <x:v>来源文件</x:v>
      </x:c>
      <x:c r="B1" s="6" t="str">
        <x:v>范围</x:v>
      </x:c>
      <x:c r="C1" s="6" t="str">
        <x:v>定位</x:v>
      </x:c>
    </x:row>
    <x:row r="2" ht="32" customHeight="1">
      <x:c r="A2" s="4" t="str">
        <x:v>华夏北京保障房REIT_2024年报_20250331.pdf</x:v>
      </x:c>
      <x:c r="B2" s="4" t="str">
        <x:v>合并/基金个别现金及分配复核</x:v>
      </x:c>
      <x:c r="C2" s="4" t="str">
        <x:v>3.1、3.3、现金流量表、收益分配与期后附注</x:v>
      </x:c>
    </x:row>
    <x:row r="3" ht="32" customHeight="1">
      <x:c r="A3" s="4" t="str">
        <x:v>华夏北京保障房REIT_2025中报_20250830.pdf</x:v>
      </x:c>
      <x:c r="B3" s="4" t="str">
        <x:v>合并/基金个别现金及分配复核</x:v>
      </x:c>
      <x:c r="C3" s="4" t="str">
        <x:v>3.1、3.3、现金流量表、收益分配与期后附注</x:v>
      </x:c>
    </x:row>
    <x:row r="4" ht="32" customHeight="1">
      <x:c r="A4" s="4" t="str">
        <x:v>华夏华润商业REIT_2024年报_20250331.pdf</x:v>
      </x:c>
      <x:c r="B4" s="4" t="str">
        <x:v>合并/基金个别现金及分配复核</x:v>
      </x:c>
      <x:c r="C4" s="4" t="str">
        <x:v>3.1、3.3、现金流量表、收益分配与期后附注</x:v>
      </x:c>
    </x:row>
    <x:row r="5" ht="32" customHeight="1">
      <x:c r="A5" s="4" t="str">
        <x:v>华夏华润商业REIT_2024年末评估_20250331.pdf</x:v>
      </x:c>
      <x:c r="B5" s="4" t="str">
        <x:v>项目原估值与十年研究窗口</x:v>
      </x:c>
      <x:c r="C5" s="4" t="str">
        <x:v>PDF第22、24页及原报告适用条件</x:v>
      </x:c>
    </x:row>
    <x:row r="6" ht="32" customHeight="1">
      <x:c r="A6" s="4" t="str">
        <x:v>华夏华润商业REIT_2025中报_20250830.pdf</x:v>
      </x:c>
      <x:c r="B6" s="4" t="str">
        <x:v>合并/基金个别现金及分配复核</x:v>
      </x:c>
      <x:c r="C6" s="4" t="str">
        <x:v>3.1、3.3、现金流量表、收益分配与期后附注</x:v>
      </x:c>
    </x:row>
    <x:row r="7" ht="32" customHeight="1">
      <x:c r="A7" s="4" t="str">
        <x:v>华夏合肥高新REIT_2024年报_20250331.pdf</x:v>
      </x:c>
      <x:c r="B7" s="4" t="str">
        <x:v>合并/基金个别现金及分配复核</x:v>
      </x:c>
      <x:c r="C7" s="4" t="str">
        <x:v>3.1、3.3、现金流量表、收益分配与期后附注</x:v>
      </x:c>
    </x:row>
    <x:row r="8" ht="32" customHeight="1">
      <x:c r="A8" s="4" t="str">
        <x:v>华夏合肥高新REIT_2024年末评估_20250331.pdf</x:v>
      </x:c>
      <x:c r="B8" s="4" t="str">
        <x:v>项目原估值与十年研究窗口</x:v>
      </x:c>
      <x:c r="C8" s="4" t="str">
        <x:v>PDF第22、24页及原报告适用条件</x:v>
      </x:c>
    </x:row>
    <x:row r="9" ht="32" customHeight="1">
      <x:c r="A9" s="4" t="str">
        <x:v>华夏合肥高新REIT_2025中报_20250830.pdf</x:v>
      </x:c>
      <x:c r="B9" s="4" t="str">
        <x:v>合并/基金个别现金及分配复核</x:v>
      </x:c>
      <x:c r="C9" s="4" t="str">
        <x:v>3.1、3.3、现金流量表、收益分配与期后附注</x:v>
      </x:c>
    </x:row>
    <x:row r="10" ht="32" customHeight="1">
      <x:c r="A10" s="4" t="str">
        <x:v>华夏越秀高速REIT_2024年报_20250331.pdf</x:v>
      </x:c>
      <x:c r="B10" s="4" t="str">
        <x:v>合并/基金个别现金及分配复核</x:v>
      </x:c>
      <x:c r="C10" s="4" t="str">
        <x:v>3.1、3.3、现金流量表、收益分配与期后附注</x:v>
      </x:c>
    </x:row>
    <x:row r="11" ht="32" customHeight="1">
      <x:c r="A11" s="4" t="str">
        <x:v>华夏越秀高速REIT_2025中报_20250830.pdf</x:v>
      </x:c>
      <x:c r="B11" s="4" t="str">
        <x:v>合并/基金个别现金及分配复核</x:v>
      </x:c>
      <x:c r="C11" s="4" t="str">
        <x:v>3.1、3.3、现金流量表、收益分配与期后附注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/>
</file>