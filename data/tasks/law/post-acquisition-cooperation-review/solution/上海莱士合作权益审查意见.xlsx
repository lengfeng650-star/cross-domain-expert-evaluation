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Type="http://schemas.openxmlformats.org/officeDocument/2006/relationships/officeDocument" Target="/xl/workbook.xml" Id="R86742268986a4e64" /><Relationship Id="rIdPropertiescore" Type="http://schemas.openxmlformats.org/package/2006/relationships/metadata/core-properties" Target="docProps/core.xml" /><Relationship Id="rIdPropertiesapp" Type="http://schemas.openxmlformats.org/officeDocument/2006/relationships/extended-properties" Target="docProps/app.xml" /></Relationships>
</file>

<file path=xl/workbook.xml><?xml version="1.0" encoding="utf-8"?>
<x:workbook xmlns:x="http://schemas.openxmlformats.org/spreadsheetml/2006/main">
  <x:sheets>
    <x:sheet xmlns:r="http://schemas.openxmlformats.org/officeDocument/2006/relationships" name="结论与行动" sheetId="1" r:id="Ra67d3c6ad3484084"/>
    <x:sheet xmlns:r="http://schemas.openxmlformats.org/officeDocument/2006/relationships" name="权益与治理" sheetId="2" r:id="R7a699320ac8c409b"/>
    <x:sheet xmlns:r="http://schemas.openxmlformats.org/officeDocument/2006/relationships" name="合作协议" sheetId="3" r:id="R089760fa58184798"/>
    <x:sheet xmlns:r="http://schemas.openxmlformats.org/officeDocument/2006/relationships" name="财务核对" sheetId="4" r:id="R6529ed1a8f0040bd"/>
    <x:sheet xmlns:r="http://schemas.openxmlformats.org/officeDocument/2006/relationships" name="交易与程序" sheetId="5" r:id="R68a2f23954f9460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
    <x:numFmt numFmtId="202" formatCode="0.0000%"/>
    <x:numFmt numFmtId="203" formatCode="0.00%"/>
  </x:numFmts>
  <x:fonts count="3">
    <x:font>
      <x:sz val="11"/>
      <x:name val="Carlito"/>
    </x:font>
    <x:font>
      <x:sz val="10"/>
      <x:color rgb="FF000000"/>
      <x:name val="Microsoft YaHei"/>
    </x:font>
    <x:font>
      <x:b/>
      <x:sz val="11"/>
      <x:color rgb="FFFFFFFF"/>
      <x:name val="Microsoft YaHei"/>
    </x:font>
  </x:fonts>
  <x:fills count="4">
    <x:fill>
      <x:patternFill patternType="none"/>
    </x:fill>
    <x:fill>
      <x:patternFill patternType="gray125"/>
    </x:fill>
    <x:fill>
      <x:patternFill patternType="solid">
        <x:fgColor rgb="FFFFFFFF"/>
      </x:patternFill>
    </x:fill>
    <x:fill>
      <x:patternFill patternType="solid">
        <x:fgColor rgb="FF1F4E78"/>
      </x:patternFill>
    </x:fill>
  </x:fills>
  <x:borders count="2">
    <x:border>
      <x:left/>
      <x:right/>
      <x:top/>
      <x:bottom/>
      <x:diagonal/>
    </x:border>
    <x:border>
      <x:left style="thin">
        <x:color rgb="FF808080"/>
      </x:left>
      <x:right style="thin">
        <x:color rgb="FF808080"/>
      </x:right>
      <x:top style="thin">
        <x:color rgb="FF808080"/>
      </x:top>
      <x:bottom style="thin">
        <x:color rgb="FF808080"/>
      </x:bottom>
      <x:diagonal/>
    </x:border>
  </x:borders>
  <x:cellStyleXfs count="1">
    <x:xf numFmtId="0" fontId="0" fillId="0" borderId="0"/>
  </x:cellStyleXfs>
  <x:cellXfs count="1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vertical="center" wrapText="1"/>
    </x:xf>
    <x:xf numFmtId="200" fontId="1" fillId="2" borderId="1" xfId="0" applyNumberFormat="1" applyFont="1" applyFill="1" applyBorder="1" applyAlignment="1">
      <x:alignment vertical="top" wrapText="1"/>
    </x:xf>
    <x:xf numFmtId="201" fontId="1" fillId="2" borderId="1" xfId="0" applyNumberFormat="1" applyFont="1" applyFill="1" applyBorder="1" applyAlignment="1">
      <x:alignment vertical="top" wrapText="1"/>
    </x:xf>
    <x:xf numFmtId="202" fontId="1" fillId="2" borderId="1" xfId="0" applyNumberFormat="1" applyFont="1" applyFill="1" applyBorder="1" applyAlignment="1">
      <x:alignment vertical="top" wrapText="1"/>
    </x:xf>
    <x:xf numFmtId="203" fontId="1" fillId="2"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0dc16ab6d03405e" /><Relationship Type="http://schemas.openxmlformats.org/officeDocument/2006/relationships/theme" Target="/xl/theme/theme1.xml" Id="R125bb58e6ef14bef" /><Relationship Type="http://schemas.openxmlformats.org/officeDocument/2006/relationships/sharedStrings" Target="/xl/sharedStrings.xml" Id="R2022e6837ac2427e" /><Relationship Type="http://schemas.openxmlformats.org/officeDocument/2006/relationships/worksheet" Target="/xl/worksheets/sheet1.xml" Id="Ra67d3c6ad3484084" /><Relationship Type="http://schemas.openxmlformats.org/officeDocument/2006/relationships/worksheet" Target="/xl/worksheets/sheet2.xml" Id="R7a699320ac8c409b" /><Relationship Type="http://schemas.openxmlformats.org/officeDocument/2006/relationships/worksheet" Target="/xl/worksheets/sheet3.xml" Id="R089760fa58184798" /><Relationship Type="http://schemas.openxmlformats.org/officeDocument/2006/relationships/worksheet" Target="/xl/worksheets/sheet4.xml" Id="R6529ed1a8f0040bd" /><Relationship Type="http://schemas.openxmlformats.org/officeDocument/2006/relationships/worksheet" Target="/xl/worksheets/sheet5.xml" Id="R68a2f23954f9460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73" hidden="0" customWidth="1"/>
    <x:col min="3" max="3" width="80" hidden="0" customWidth="1"/>
    <x:col min="4" max="4" width="57" hidden="0" customWidth="1"/>
  </x:cols>
  <x:sheetData>
    <x:row r="1" ht="30" customHeight="1">
      <x:c r="A1" s="8" t="str">
        <x:v>事项</x:v>
      </x:c>
      <x:c r="B1" s="8" t="str">
        <x:v>意见</x:v>
      </x:c>
      <x:c r="C1" s="8" t="str">
        <x:v>执行安排</x:v>
      </x:c>
      <x:c r="D1" s="8" t="str">
        <x:v>主要依据</x:v>
      </x:c>
    </x:row>
    <x:row r="2" ht="57" customHeight="1">
      <x:c r="A2" s="5" t="str">
        <x:v>审查范围</x:v>
      </x:c>
      <x:c r="B2" s="5" t="str">
        <x:v>基准日为2025年4月21日。本意见限于随附公开披露可证实的事实及中国大陆上市公司、合同层面的判断；GDS治理部分仅解释披露的合同安排。</x:v>
      </x:c>
      <x:c r="C2" s="5" t="str">
        <x:v>未经提供的完整交易文件、境外法、付款和通知凭证不作为已核事实。对缺口列取证动作，不据此认定交易违法、无效或已经违约。</x:v>
      </x:c>
      <x:c r="D2" s="5" t="str">
        <x:v>01_详式权益变动报告书_20231230.pdf，物理第16—20页；08_排他性战略合作总协议公告_20240619.pdf，物理第6—8页；14_第二次临时股东大会法律意见_20240730.pdf，物理第2—3页</x:v>
      </x:c>
    </x:row>
    <x:row r="3" ht="42" customHeight="1">
      <x:c r="A3" s="5" t="str">
        <x:v>权益与控制</x:v>
      </x:c>
      <x:c r="B3" s="5" t="str">
        <x:v>应维持海盈康为控股股东、海尔集团为实际控制人的披露状态。最新持股更新截至2025年4月7日：海盈康所有权约21.67%，合计控制表决权约28.25%。</x:v>
      </x:c>
      <x:c r="C3" s="5" t="str">
        <x:v>董事会秘书核验最新股东名册、委托及股权质押文件；截至基准日未提供更晚持股明细，不把4月7日数字写成4月21日实际交易余额。</x:v>
      </x:c>
      <x:c r="D3" s="5" t="str">
        <x:v>10_控股股东及实际控制人变更公告_20240730.pdf，物理第2页；13_2024年年度报告_20250418.pdf，物理第105—106页</x:v>
      </x:c>
    </x:row>
    <x:row r="4" ht="72" customHeight="1">
      <x:c r="A4" s="5" t="str">
        <x:v>合同执行</x:v>
      </x:c>
      <x:c r="B4" s="5" t="str">
        <x:v>合作与代理安排已有签署及股东会批准披露；付款日期及全部条件成就证据仍应归档。独家经销、优先报价、技术许可和境外IVIG协作的权利范围不同。</x:v>
      </x:c>
      <x:c r="C4" s="5" t="str">
        <x:v>合同管理人员优先收齐已签全文、修订、附件、收款确认及通知机制。既不把签署日直接当生效日，也不因未见回单就认定未生效。</x:v>
      </x:c>
      <x:c r="D4" s="5" t="str">
        <x:v>07_独家代理协议第九次修正公告_20240619.pdf，物理第3—4页；08_排他性战略合作总协议公告_20240619.pdf，物理第3—8页；14_第二次临时股东大会法律意见_20240730.pdf，物理第6页</x:v>
      </x:c>
    </x:row>
    <x:row r="5" ht="57" customHeight="1">
      <x:c r="A5" s="5" t="str">
        <x:v>业绩与资金</x:v>
      </x:c>
      <x:c r="B5" s="5" t="str">
        <x:v>2019—2023年度专项审核支持旧承诺完成；2024—2028年度承诺尚未到期。2,700万美元已披露股利不能与公司权益法投资收益混用。</x:v>
      </x:c>
      <x:c r="C5" s="5" t="str">
        <x:v>财务负责人留存旧审核报告；对新承诺建立年度双方认可的EBITDA台账；取得GDS最终审计净利、股利所属年度、宣派决议及到账凭证后再决定是否提出差额请求。</x:v>
      </x:c>
      <x:c r="D5" s="5" t="str">
        <x:v>05_GDS业绩承诺专项审核意见_20240429.pdf，物理第7—8页；13_2024年年度报告_20250418.pdf，物理第84、209—210、287—288页</x:v>
      </x:c>
    </x:row>
    <x:row r="6" ht="72" customHeight="1">
      <x:c r="A6" s="5" t="str">
        <x:v>2025交易安排</x:v>
      </x:c>
      <x:c r="B6" s="5" t="str">
        <x:v>2025年度日常关联交易预算已于2025年2月14日获股东会批准。预算批准不能替代变更、超额、长期协议重审或担保续期程序。</x:v>
      </x:c>
      <x:c r="C6" s="5" t="str">
        <x:v>财务与董事会秘书按币种、关联方和交易类别共同监控；业务部门保留订单、发票、批签发及折扣结算证据，付款保证应单独管理。</x:v>
      </x:c>
      <x:c r="D6" s="5" t="str">
        <x:v>11_2025年度日常关联交易预计公告_20250123.pdf，物理第1—3、7页；15_第一次临时股东大会法律意见_20250215.pdf，物理第7—8页；13_2024年年度报告_20250418.pdf，物理第88—93页；21_股票上市规则_2024年修订.pdf，物理第79—84页</x:v>
      </x:c>
    </x:row>
    <x:row r="7" ht="57" customHeight="1">
      <x:c r="A7" s="5" t="str">
        <x:v>处置优先级</x:v>
      </x:c>
      <x:c r="B7" s="5" t="str">
        <x:v>优先补齐生效、锁定与担保期限证据；其次核定GDS年度业绩、股利和结算差额；持续维护持股和关联人名单。</x:v>
      </x:c>
      <x:c r="C7" s="5" t="str">
        <x:v>法律顾问会同董事会秘书负责权益、程序及对外函件；财务负责人负责审计口径与现金核验；采购负责人负责订单和数量。结论更新以证据到位为触发，不设材料之外的既成时限。</x:v>
      </x:c>
      <x:c r="D7" s="5" t="str">
        <x:v>01_详式权益变动报告书_20231230.pdf，物理第16—20页；07_独家代理协议第九次修正公告_20240619.pdf，物理第3—4页；13_2024年年度报告_20250418.pdf，物理第209—210、305页</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77" hidden="0" customWidth="1"/>
    <x:col min="3" max="3" width="85" hidden="0" customWidth="1"/>
    <x:col min="4" max="4" width="67" hidden="0" customWidth="1"/>
  </x:cols>
  <x:sheetData>
    <x:row r="1" ht="30" customHeight="1">
      <x:c r="A1" s="8" t="str">
        <x:v>事项</x:v>
      </x:c>
      <x:c r="B1" s="8" t="str">
        <x:v>判断</x:v>
      </x:c>
      <x:c r="C1" s="8" t="str">
        <x:v>边界及待补事项</x:v>
      </x:c>
      <x:c r="D1" s="8" t="str">
        <x:v>原件与规则</x:v>
      </x:c>
    </x:row>
    <x:row r="2" ht="57" customHeight="1">
      <x:c r="A2" s="5" t="str">
        <x:v>承继与责任</x:v>
      </x:c>
      <x:c r="B2" s="5" t="str">
        <x:v>2023年12月29日海尔与基立福订约，2024年1月21日海盈康承继股份受让及表决权受托地位；原买方海尔须对承继方在协议及其他交易文件项下全部义务承担连带责任。</x:v>
      </x:c>
      <x:c r="C2" s="5" t="str">
        <x:v>不能把承继等同海尔全部退出。海盈康1月的全资孙公司结构已在4月调整为青岛海盈75%、海有蓝25%。</x:v>
      </x:c>
      <x:c r="D2" s="5" t="str">
        <x:v>01_详式权益变动报告书_20231230.pdf，物理第20页；04_协议转让进展公告_20240123.pdf，物理第1—2页；09_股份过户登记公告_20240619.pdf，物理第2页；民法典第551、555条</x:v>
      </x:c>
    </x:row>
    <x:row r="3" ht="72" customHeight="1">
      <x:c r="A3" s="5" t="str">
        <x:v>过户与控制</x:v>
      </x:c>
      <x:c r="B3" s="5" t="str">
        <x:v>股份于2024年6月18日登记海盈康名下；2024年7月29日换届后控制董事会过半数席位，7月30日公告确认控股股东、实际控制人变更；年报将变更日列为7月30日。</x:v>
      </x:c>
      <x:c r="C3" s="5" t="str">
        <x:v>不将交易签署、过户和控制变更披露统一为一天。收购管理办法第84条以实际支配表决权及董事选任等判断控制，30%不是唯一标准。</x:v>
      </x:c>
      <x:c r="D3" s="5" t="str">
        <x:v>09_股份过户登记公告_20240619.pdf，物理第2—3页；10_控股股东及实际控制人变更公告_20240730.pdf，物理第2页；13_2024年年度报告_20250418.pdf，物理第104—105页；19_上市公司收购管理办法_2020年修正.pdf，物理第46—47页</x:v>
      </x:c>
    </x:row>
    <x:row r="4" ht="42" customHeight="1">
      <x:c r="A4" s="5" t="str">
        <x:v>委托的起算</x:v>
      </x:c>
      <x:c r="B4" s="5" t="str">
        <x:v>受让1,329,096,152股与受托437,069,656股相加为1,766,165,808股。委托自基立福收齐价款（扣税部分除外）之日起至第十周年日。</x:v>
      </x:c>
      <x:c r="C4" s="5" t="str">
        <x:v>登记本身不证明收款日期；不推定委托已经届满或精确起止日。受托表决不转移该437,069,656股的所有权。</x:v>
      </x:c>
      <x:c r="D4" s="5" t="str">
        <x:v>01_详式权益变动报告书_20231230.pdf，物理第16—17页；09_股份过户登记公告_20240619.pdf，物理第3页</x:v>
      </x:c>
    </x:row>
    <x:row r="5" ht="42" customHeight="1">
      <x:c r="A5" s="5" t="str">
        <x:v>最新权益</x:v>
      </x:c>
      <x:c r="B5" s="5" t="str">
        <x:v>年末控制1,766,165,808股的记载，与年报后续更新截至2025年4月7日持有1,438,154,552股、控制1,875,224,208股的记载应按各自时点使用。</x:v>
      </x:c>
      <x:c r="C5" s="5" t="str">
        <x:v>以总股本6,637,984,837股复算。该分母与2024年交易签约分母不同；不得沿用20%和26.58%作为最新比例。</x:v>
      </x:c>
      <x:c r="D5" s="5" t="str">
        <x:v>13_2024年年度报告_20250418.pdf，物理第99、105—106页</x:v>
      </x:c>
    </x:row>
    <x:row r="6" ht="57" customHeight="1">
      <x:c r="A6" s="5" t="str">
        <x:v>控制关系图</x:v>
      </x:c>
      <x:c r="B6" s="5" t="str">
        <x:v>年报图示截至2024年12月31日：海尔经全资海有蓝持有海盈康25%；另一条路径为海尔51.2%与青岛海创48.8%共同指向青岛海融，经金盈、青岛海盈两个100%层级持有海盈康75%。基立福的虚线为表决权委托。</x:v>
      </x:c>
      <x:c r="C6" s="5" t="str">
        <x:v>两条持股路径平行汇入海盈康，不能把25%和75%连续相乘；51.2%路径与100%路径不同。穿透经济权益与实际支配表决权不能替代；图的年末时点不能覆盖图下4月7日更新。</x:v>
      </x:c>
      <x:c r="D6" s="5" t="str">
        <x:v>13_2024年年度报告_20250418.pdf，物理第105页</x:v>
      </x:c>
    </x:row>
    <x:row r="7" ht="72" customHeight="1">
      <x:c r="A7" s="5" t="str">
        <x:v>股份锁定</x:v>
      </x:c>
      <x:c r="B7" s="5" t="str">
        <x:v>2020及2025修正收购办法第74条的收购人18个月限制，与交易双方相关股份36个月合同承诺并存。年报将承诺期列为2024年6月18日至2027年6月17日。</x:v>
      </x:c>
      <x:c r="C7" s="5" t="str">
        <x:v>年报股东表列无限售条件股份，仍须遵守另行披露的36个月承诺；登记类别不解除合同。原股份购买协议对买方转关联方有例外，法定同一实控人例外与协议例外须分别满足，不概括为所有关联转让均可。</x:v>
      </x:c>
      <x:c r="D7" s="5" t="str">
        <x:v>01_详式权益变动报告书_20231230.pdf，物理第15、20页；13_2024年年度报告_20250418.pdf，物理第84、102—103、106页；19_上市公司收购管理办法_2020年修正.pdf，物理第41页；28_上市公司收购管理办法_2025年修正.pdf，物理第34—35页</x:v>
      </x:c>
    </x:row>
    <x:row r="8" ht="72" customHeight="1">
      <x:c r="A8" s="5" t="str">
        <x:v>审批与合同生效</x:v>
      </x:c>
      <x:c r="B8" s="5" t="str">
        <x:v>境内外必要政府审批已获满足的进展由过户公告披露；两份商业协议则按签署、付款日、公司股东会批准两协议三者最晚完成时生效。2024年7月29日批准证据已具备。</x:v>
      </x:c>
      <x:c r="C8" s="5" t="str">
        <x:v>须补付款日及完整生效条款证明，不把行政审批或交易所过户确认当成两商业协议生效的全部证据。</x:v>
      </x:c>
      <x:c r="D8" s="5" t="str">
        <x:v>09_股份过户登记公告_20240619.pdf，物理第2页；07_独家代理协议第九次修正公告_20240619.pdf，物理第4页；08_排他性战略合作总协议公告_20240619.pdf，物理第7页；14_第二次临时股东大会法律意见_20240730.pdf，物理第6页；民法典第158、502条</x:v>
      </x:c>
    </x:row>
    <x:row r="9" ht="42" customHeight="1">
      <x:c r="A9" s="5" t="str">
        <x:v>2024会议分母</x:v>
      </x:c>
      <x:c r="B9" s="5" t="str">
        <x:v>总股本扣库存股为有表决权股份6,635,984,837股；出席代表3,357,296,118股；两关联议案有效表决分母1,591,130,310股，差额1,766,165,808股。</x:v>
      </x:c>
      <x:c r="C9" s="5" t="str">
        <x:v>两议案同意比例91.8827%、91.8941%按非关联有效分母计算；不得用总股本或全部出席股份稀释。会议法律意见只证明其审查范围内程序与结果，不能据此保证合同实质条款公允。</x:v>
      </x:c>
      <x:c r="D9" s="5" t="str">
        <x:v>14_第二次临时股东大会法律意见_20240730.pdf，物理第2—4、6—7页；21_股票上市规则_2024年修订.pdf，物理第79—80页</x:v>
      </x:c>
    </x:row>
    <x:row r="10" ht="57" customHeight="1">
      <x:c r="A10" s="5" t="str">
        <x:v>关联关系</x:v>
      </x:c>
      <x:c r="B10" s="5" t="str">
        <x:v>基立福减持后仍持股超过5%，与海盈康有表决权安排；其相关经营主体在公告中持续按关联方管理。海尔生物属于实控人体系，董事兼任情况亦有披露。</x:v>
      </x:c>
      <x:c r="C10" s="5" t="str">
        <x:v>不因控制权从无实控人变海尔，就认定基立福体系全部不再关联。关联人名单及关联董事、关联股东分别更新。</x:v>
      </x:c>
      <x:c r="D10" s="5" t="str">
        <x:v>07_独家代理协议第九次修正公告_20240619.pdf，物理第3页；11_2025年度日常关联交易预计公告_20250123.pdf，物理第7页；21_股票上市规则_2024年修订.pdf，物理第76—80页</x:v>
      </x:c>
    </x:row>
    <x:row r="11" ht="57" customHeight="1">
      <x:c r="A11" s="5" t="str">
        <x:v>GDS经济及表决权益</x:v>
      </x:c>
      <x:c r="B11" s="5" t="str">
        <x:v>公司持有GDS A类40/100股、B类50/100股，总计45%经济权益；保留事项按出席股东持有的A类股份至少四分之三表决。</x:v>
      </x:c>
      <x:c r="C11" s="5" t="str">
        <x:v>不能把45%直接当A类表决权。若双方全部A类100股出席，另一方60股不足75股；若只有另一方60股出席，按披露分母60股本身满足45股门槛，但会议是否成立须另核完整章程与境外法，不作确定效力判断。</x:v>
      </x:c>
      <x:c r="D11" s="5" t="str">
        <x:v>05_GDS业绩承诺专项审核意见_20240429.pdf，物理第7页；08_排他性战略合作总协议公告_20240619.pdf，物理第8页</x:v>
      </x:c>
    </x:row>
    <x:row r="12" ht="42" customHeight="1">
      <x:c r="A12" s="5" t="str">
        <x:v>GDS董事保留事项</x:v>
      </x:c>
      <x:c r="B12" s="5" t="str">
        <x:v>董事会5人，GSSNA委派3人，公司委派2人；列明保留事项需出席董事超过四分之三同意。</x:v>
      </x:c>
      <x:c r="C12" s="5" t="str">
        <x:v>全员5人出席须4票，其他方3票不能单独通过；如仅该3人出席，3票超过2.25，但不由此认定会议有效。公司仅有1名委派董事反对而其余4人赞成时，4票已足够。</x:v>
      </x:c>
      <x:c r="D12" s="5" t="str">
        <x:v>08_排他性战略合作总协议公告_20240619.pdf，物理第6、8页</x:v>
      </x:c>
    </x:row>
    <x:row r="13" ht="42" customHeight="1">
      <x:c r="A13" s="5" t="str">
        <x:v>权利存续</x:v>
      </x:c>
      <x:c r="B13" s="5" t="str">
        <x:v>公司仍为GDS股东时，GDS两董事席位、股份转让同意权和保留事项权利按披露约定在主协议终止后继续。上海莱士董事会给基立福的一个提名席位另以持股至少5%为条件。</x:v>
      </x:c>
      <x:c r="C13" s="5" t="str">
        <x:v>区分“公司仍持有GDS股份”、基立福持有上海莱士5%和买方维持上海莱士10%三个条件，不交叉套用。</x:v>
      </x:c>
      <x:c r="D13" s="5" t="str">
        <x:v>08_排他性战略合作总协议公告_20240619.pdf，物理第5—8页；01_详式权益变动报告书_20231230.pdf，物理第20页</x:v>
      </x:c>
    </x:row>
    <x:row r="14" ht="42" customHeight="1">
      <x:c r="A14" s="5" t="str">
        <x:v>GDS转股程序</x:v>
      </x:c>
      <x:c r="B14" s="5" t="str">
        <x:v>GDS股东向第三方转股须另一方事先书面同意；通知送达后三十日未提出异议视为同意。</x:v>
      </x:c>
      <x:c r="C14" s="5" t="str">
        <x:v>原件只写“三十日”，未写工作日。该规则不等于基立福剩余上海莱士股份转让的优先购买程序。</x:v>
      </x:c>
      <x:c r="D14" s="5" t="str">
        <x:v>08_排他性战略合作总协议公告_20240619.pdf，物理第7—8页；01_详式权益变动报告书_20231230.pdf，物理第18页</x:v>
      </x:c>
    </x:row>
    <x:row r="15" ht="57" customHeight="1">
      <x:c r="A15" s="5" t="str">
        <x:v>GDS保留事项范围</x:v>
      </x:c>
      <x:c r="B15" s="5" t="str">
        <x:v>新增股本、合并解散、章程等、12个月资产交易超过最近审计总资产30%、战略，以及非日常的GDS体系与基立福体系单笔或同项目系列超过2亿美元关联交易均有保留安排。</x:v>
      </x:c>
      <x:c r="C15" s="5" t="str">
        <x:v>GDS与自身子公司不在所列相对方范围；不得把2亿美元阈值当成一切交易通用门槛，也不能把2023年SMC交易直接套入2024新协议认定违法。</x:v>
      </x:c>
      <x:c r="D15" s="5" t="str">
        <x:v>08_排他性战略合作总协议公告_20240619.pdf，物理第8页；05_GDS业绩承诺专项审核意见_20240429.pdf，物理第8页</x:v>
      </x:c>
    </x:row>
    <x:row r="16" ht="42" customHeight="1">
      <x:c r="A16" s="5" t="str">
        <x:v>资金池的例外</x:v>
      </x:c>
      <x:c r="B16" s="5" t="str">
        <x:v>现金池安排只有在批准时不对分红承诺有不利影响、未清本金与利息不超过20亿美元且利率符合商业惯例时，才按该协议不视为关联交易。</x:v>
      </x:c>
      <x:c r="C16" s="5" t="str">
        <x:v>这是合同保留事项的口径，不替代中国上市公司关联交易披露或财务资助规则。当前材料没有现金池实时占用和利率，不下实际合规结论。</x:v>
      </x:c>
      <x:c r="D16" s="5" t="str">
        <x:v>08_排他性战略合作总协议公告_20240619.pdf，物理第8页；21_股票上市规则_2024年修订.pdf，物理第76—84页</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78" hidden="0" customWidth="1"/>
    <x:col min="3" max="3" width="85" hidden="0" customWidth="1"/>
    <x:col min="4" max="4" width="63" hidden="0" customWidth="1"/>
  </x:cols>
  <x:sheetData>
    <x:row r="1" ht="30" customHeight="1">
      <x:c r="A1" s="8" t="str">
        <x:v>事项</x:v>
      </x:c>
      <x:c r="B1" s="8" t="str">
        <x:v>可依赖的安排</x:v>
      </x:c>
      <x:c r="C1" s="8" t="str">
        <x:v>边界与管理措施</x:v>
      </x:c>
      <x:c r="D1" s="8" t="str">
        <x:v>原件与规则</x:v>
      </x:c>
    </x:row>
    <x:row r="2" ht="42" customHeight="1">
      <x:c r="A2" s="5" t="str">
        <x:v>代理期限</x:v>
      </x:c>
      <x:c r="B2" s="5" t="str">
        <x:v>初始十年从交割日2024年6月18日起计算；公司可以提前至少六个月书面通知，将期限再延长十年。</x:v>
      </x:c>
      <x:c r="C2" s="5" t="str">
        <x:v>合同效力条件与期限起算是两个问题；不能把2024—2028年承诺期当代理期。最终届满及通知日须依据已签全文；民法典第200—204条适用期间规则并保留当事人另约。</x:v>
      </x:c>
      <x:c r="D2" s="5" t="str">
        <x:v>07_独家代理协议第九次修正公告_20240619.pdf，物理第3—4页；18_民法典.pdf，物理第45—46页</x:v>
      </x:c>
    </x:row>
    <x:row r="3" ht="42" customHeight="1">
      <x:c r="A3" s="5" t="str">
        <x:v>产品与价格</x:v>
      </x:c>
      <x:c r="B3" s="5" t="str">
        <x:v>代理涉及公告列示的人血白蛋白产品。6月18日前已下订单保留旧价；6月18日至2026年12月31日的订单采用新价。</x:v>
      </x:c>
      <x:c r="C3" s="5" t="str">
        <x:v>新价格届满后磋商，同时2024—2028年价格不得高于交割前历史价及届时有竞争力的市场价。价格数值未披露，不能从总采购预算反推合同单价。</x:v>
      </x:c>
      <x:c r="D3" s="5" t="str">
        <x:v>03_独家代理协议及关联交易公告_20240122.pdf，物理第6—7页；07_独家代理协议第九次修正公告_20240619.pdf，物理第3页</x:v>
      </x:c>
    </x:row>
    <x:row r="4" ht="42" customHeight="1">
      <x:c r="A4" s="5" t="str">
        <x:v>最低数量</x:v>
      </x:c>
      <x:c r="B4" s="5" t="str">
        <x:v>2024—2028最低年度数量按全部产品累计；Biotest产品单独的2024最低量承诺自2024年1月1日起失效。</x:v>
      </x:c>
      <x:c r="C4" s="5" t="str">
        <x:v>累计最低量仍在。2029起五年最低数量在不迟于2028年底前六个月协商，不能低于2028最低年度数量。原件未给数量表，不能认定预算执行差额即违约数量。</x:v>
      </x:c>
      <x:c r="D4" s="5" t="str">
        <x:v>07_独家代理协议第九次修正公告_20240619.pdf，物理第3—4页</x:v>
      </x:c>
    </x:row>
    <x:row r="5" ht="57" customHeight="1">
      <x:c r="A5" s="5" t="str">
        <x:v>结算与折扣</x:v>
      </x:c>
      <x:c r="B5" s="5" t="str">
        <x:v>旧公开约定对基立福全球发票为180日账期；批签发超过180日时，由基立福全球按发票总额年4%计息至完全放行。提前付款折扣按实际付款日SOFR加1.00%、1.15%或1.30%，负SOFR按零。</x:v>
      </x:c>
      <x:c r="C5" s="5" t="str">
        <x:v>年报继续披露全球180日、GDS90日、上海180日结算口径。折扣档次须依原表付款时点匹配，并核完整约定；无发票、实际付款日及SOFR，不能给实际应收折扣。批签发利息的给付方向不是公司向供方。</x:v>
      </x:c>
      <x:c r="D5" s="5" t="str">
        <x:v>03_独家代理协议及关联交易公告_20240122.pdf，物理第7页；13_2024年年度报告_20250418.pdf，物理第88—89页</x:v>
      </x:c>
    </x:row>
    <x:row r="6" ht="42" customHeight="1">
      <x:c r="A6" s="5" t="str">
        <x:v>IVIG境外协作</x:v>
      </x:c>
      <x:c r="B6" s="5" t="str">
        <x:v>基立福协助公司自产IVIG不同适应症临床试验，并拟在中国境外经销，具体条款另行协商。</x:v>
      </x:c>
      <x:c r="C6" s="5" t="str">
        <x:v>这不赋予公司对基立福所有产品全球独家权。未经提供后续协议，不能确认具体境外经销条件已经落地。</x:v>
      </x:c>
      <x:c r="D6" s="5" t="str">
        <x:v>08_排他性战略合作总协议公告_20240619.pdf，物理第4页；13_2024年年度报告_20250418.pdf，物理第85页</x:v>
      </x:c>
    </x:row>
    <x:row r="7" ht="57" customHeight="1">
      <x:c r="A7" s="5" t="str">
        <x:v>新品优先报价</x:v>
      </x:c>
      <x:c r="B7" s="5" t="str">
        <x:v>基立福发新品通知后，公司可在十个工作日内发有约束力报价。基立福认为价格和条件可接受时，双方可以在报价通知后一个月内签正式协议。</x:v>
      </x:c>
      <x:c r="C7" s="5" t="str">
        <x:v>区分未报价与已报价未签约两种第三方合作分支；已发报价通知时核对不劣于该报价的价格条件，未报价时须由全文确认比较基准。为公司利益正在与第三方谈判的免疫球蛋白合作分销另有例外。</x:v>
      </x:c>
      <x:c r="D7" s="5" t="str">
        <x:v>08_排他性战略合作总协议公告_20240619.pdf，物理第6—7页</x:v>
      </x:c>
    </x:row>
    <x:row r="8" ht="42" customHeight="1">
      <x:c r="A8" s="5" t="str">
        <x:v>新业务伙伴</x:v>
      </x:c>
      <x:c r="B8" s="5" t="str">
        <x:v>基立福在区域内开展其他新业务并寻找中国伙伴时应通知公司；双方就具体条件达成一致后任命公司为独家战略伙伴。</x:v>
      </x:c>
      <x:c r="C8" s="5" t="str">
        <x:v>不是新业务一出现公司即自动取得全部权利。管理重点为通知送达、回复和后续具体协议。</x:v>
      </x:c>
      <x:c r="D8" s="5" t="str">
        <x:v>08_排他性战略合作总协议公告_20240619.pdf，物理第6—7页</x:v>
      </x:c>
    </x:row>
    <x:row r="9" ht="42" customHeight="1">
      <x:c r="A9" s="5" t="str">
        <x:v>技术及支持服务</x:v>
      </x:c>
      <x:c r="B9" s="5" t="str">
        <x:v>质量合作、2023年工程协议和2022年研发框架继续；技术许可或转让按需要另订有偿安排。核酸筛查独家经销覆盖2022年4月15日生效协议所列系统、检测试剂及试剂盒。</x:v>
      </x:c>
      <x:c r="C9" s="5" t="str">
        <x:v>不把技术支持扩展为免费IP所有权；联合研发需另核预算、成本和成果权益。质量监督的两名委派人员不能当成GDS董事席位。</x:v>
      </x:c>
      <x:c r="D9" s="5" t="str">
        <x:v>08_排他性战略合作总协议公告_20240619.pdf，物理第3—6页</x:v>
      </x:c>
    </x:row>
    <x:row r="10" ht="42" customHeight="1">
      <x:c r="A10" s="5" t="str">
        <x:v>股份优先购买</x:v>
      </x:c>
      <x:c r="B10" s="5" t="str">
        <x:v>基立福拟协议向非关联第三方转让剩余上海莱士股份时，买方有20个工作日回应购买全部拟售股份的优先权；成交应在回应期结束后三个月内完成。</x:v>
      </x:c>
      <x:c r="C10" s="5" t="str">
        <x:v>与GDS转股的30日未异议视为同意分别管理。不能以可支配表决权直接处分基立福保留股权。</x:v>
      </x:c>
      <x:c r="D10" s="5" t="str">
        <x:v>01_详式权益变动报告书_20231230.pdf，物理第18页；08_排他性战略合作总协议公告_20240619.pdf，物理第7—8页</x:v>
      </x:c>
    </x:row>
    <x:row r="11" ht="57" customHeight="1">
      <x:c r="A11" s="5" t="str">
        <x:v>业绩补偿</x:v>
      </x:c>
      <x:c r="B11" s="5" t="str">
        <x:v>旧承诺累计13亿美元已由专项审核确认完成；新承诺为2024年1月1日至2028年12月31日累计不少于8.5亿美元EBITDA，按双方认可年度数相加。</x:v>
      </x:c>
      <x:c r="C11" s="5" t="str">
        <x:v>低于承诺时，基立福向上海莱士支付正短缺额乘公司持有GDS的适用股权比例。45%为签署日及现有披露比例，不能认定永久固定，适用时点须核全文。支付在2028审计后30日内且不迟于2029年3月31日；基准日尚不能认定最终短缺或付款已到期。</x:v>
      </x:c>
      <x:c r="D11" s="5" t="str">
        <x:v>05_GDS业绩承诺专项审核意见_20240429.pdf，物理第7—8页；01_详式权益变动报告书_20231230.pdf，物理第18页；13_2024年年度报告_20250418.pdf，物理第84、86页</x:v>
      </x:c>
    </x:row>
    <x:row r="12" ht="42" customHeight="1">
      <x:c r="A12" s="5" t="str">
        <x:v>承诺的附随条件</x:v>
      </x:c>
      <x:c r="B12" s="5" t="str">
        <x:v>买方在2024—2028期内任时不再直接或间接持有上海莱士至少10%时，基立福关于业绩补偿和分红的义务按约免除。分红本身还以基立福继续控制GDS为前提。</x:v>
      </x:c>
      <x:c r="C12" s="5" t="str">
        <x:v>截至最新披露海盈康持股21.67%并不触及10%，但仍须持续跟踪。不将买方的上海莱士持股比例替代公司45%GDS权益计算补偿。</x:v>
      </x:c>
      <x:c r="D12" s="5" t="str">
        <x:v>01_详式权益变动报告书_20231230.pdf，物理第18、20页；13_2024年年度报告_20250418.pdf，物理第105—106页</x:v>
      </x:c>
    </x:row>
    <x:row r="13" ht="57" customHeight="1">
      <x:c r="A13" s="5" t="str">
        <x:v>保证与赔偿</x:v>
      </x:c>
      <x:c r="B13" s="5" t="str">
        <x:v>卖方基本保证：交割后五年内主张、上限价款100%；其他陈述保证：24个月内、上限20%；单项损失超过300万美元且合计超过1,000万美元后，按超过部分承担。买方陈述保证24个月内，上限15%。</x:v>
      </x:c>
      <x:c r="C13" s="5" t="str">
        <x:v>具体请求权类别先依全文确认；不得将陈述保证免赔额和上限当然扩张至业绩、分红等全部承诺违约。只有披露的期限、金额不足以单独成立实际索赔。</x:v>
      </x:c>
      <x:c r="D13" s="5" t="str">
        <x:v>01_详式权益变动报告书_20231230.pdf，物理第19—20页；民法典第509、577条</x:v>
      </x:c>
    </x:row>
    <x:row r="14" ht="42" customHeight="1">
      <x:c r="A14" s="5" t="str">
        <x:v>逾期价款</x:v>
      </x:c>
      <x:c r="B14" s="5" t="str">
        <x:v>买方未依约付款且不是卖方违约导致时，按逾期金额每日0.05%向卖方支付滞纳金。</x:v>
      </x:c>
      <x:c r="C14" s="5" t="str">
        <x:v>没有实际到期额、付款日及成因证据，不以125亿元全额计算一笔既成违约金。法定与约定责任的调整问题须有实际争议事实和适用条款，不在本次直接认定。</x:v>
      </x:c>
      <x:c r="D14" s="5" t="str">
        <x:v>01_详式权益变动报告书_20231230.pdf，物理第16、20页</x:v>
      </x:c>
    </x:row>
    <x:row r="15" ht="57" customHeight="1">
      <x:c r="A15" s="5" t="str">
        <x:v>长期协议重审</x:v>
      </x:c>
      <x:c r="B15" s="5" t="str">
        <x:v>日常关联协议超过三年，应每三年重新履行相应审议程序并披露；2024年1月曾因该规则重审代理协议。</x:v>
      </x:c>
      <x:c r="C15" s="5" t="str">
        <x:v>十年合同期限不等于一次批准即可覆盖十年。重大条款变更、到期续签、预计超额等应另按上市规则执行。</x:v>
      </x:c>
      <x:c r="D15" s="5" t="str">
        <x:v>03_独家代理协议及关联交易公告_20240122.pdf，物理第9页；20_股票上市规则_2023年8月修订.pdf，物理第85—86页；21_股票上市规则_2024年修订.pdf，物理第83—84页</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5" hidden="0" customWidth="1"/>
    <x:col min="2" max="2" width="24" hidden="0" customWidth="1"/>
    <x:col min="3" max="3" width="21" hidden="0" customWidth="1"/>
    <x:col min="4" max="4" width="72" hidden="0" customWidth="1"/>
    <x:col min="5" max="5" width="60" hidden="0" customWidth="1"/>
  </x:cols>
  <x:sheetData>
    <x:row r="1" ht="30" customHeight="1">
      <x:c r="A1" s="8" t="str">
        <x:v>项目</x:v>
      </x:c>
      <x:c r="B1" s="8" t="str">
        <x:v>数值</x:v>
      </x:c>
      <x:c r="C1" s="8" t="str">
        <x:v>单位</x:v>
      </x:c>
      <x:c r="D1" s="8" t="str">
        <x:v>计算或使用口径</x:v>
      </x:c>
      <x:c r="E1" s="8" t="str">
        <x:v>原件定位</x:v>
      </x:c>
    </x:row>
    <x:row r="2" ht="30" customHeight="1">
      <x:c r="A2" s="5" t="str">
        <x:v>最新披露总股本</x:v>
      </x:c>
      <x:c r="B2" s="9" t="n">
        <x:v>6637984837</x:v>
      </x:c>
      <x:c r="C2" s="5" t="str">
        <x:v>股</x:v>
      </x:c>
      <x:c r="D2" s="5" t="str">
        <x:v>与年报4月7日持股更新配套使用</x:v>
      </x:c>
      <x:c r="E2" s="5" t="str">
        <x:v>13_2024年年度报告_20250418.pdf，物理第56、99页</x:v>
      </x:c>
    </x:row>
    <x:row r="3" ht="30" customHeight="1">
      <x:c r="A3" s="5" t="str">
        <x:v>4月7日海盈康所有权</x:v>
      </x:c>
      <x:c r="B3" s="9" t="n">
        <x:v>1438154552</x:v>
      </x:c>
      <x:c r="C3" s="5" t="str">
        <x:v>股</x:v>
      </x:c>
      <x:c r="D3" s="5" t="str">
        <x:v>不含基立福委托股</x:v>
      </x:c>
      <x:c r="E3" s="5" t="str">
        <x:v>13_2024年年度报告_20250418.pdf，物理第105页</x:v>
      </x:c>
    </x:row>
    <x:row r="4" ht="30" customHeight="1">
      <x:c r="A4" s="5" t="str">
        <x:v>基立福委托表决权</x:v>
      </x:c>
      <x:c r="B4" s="9" t="n">
        <x:v>437069656</x:v>
      </x:c>
      <x:c r="C4" s="5" t="str">
        <x:v>股</x:v>
      </x:c>
      <x:c r="D4" s="5" t="str">
        <x:v>所有权仍为基立福</x:v>
      </x:c>
      <x:c r="E4" s="5" t="str">
        <x:v>13_2024年年度报告_20250418.pdf，物理第105—106页</x:v>
      </x:c>
    </x:row>
    <x:row r="5" ht="30" customHeight="1">
      <x:c r="A5" s="5" t="str">
        <x:v>4月7日合计控制表决权</x:v>
      </x:c>
      <x:c r="B5" s="10" t="n">
        <x:f>B3+B4</x:f>
        <x:v>1875224208</x:v>
      </x:c>
      <x:c r="C5" s="5" t="str">
        <x:v>股</x:v>
      </x:c>
      <x:c r="D5" s="5" t="str">
        <x:v>所有权股数加受托表决权股数</x:v>
      </x:c>
      <x:c r="E5" s="5" t="str">
        <x:v>13_2024年年度报告_20250418.pdf，物理第105—106页</x:v>
      </x:c>
    </x:row>
    <x:row r="6" ht="30" customHeight="1">
      <x:c r="A6" s="5" t="str">
        <x:v>4月7日持股比例</x:v>
      </x:c>
      <x:c r="B6" s="11" t="n">
        <x:f>B3/B2</x:f>
        <x:v>0.21665529333296366</x:v>
      </x:c>
      <x:c r="C6" s="5" t="str">
        <x:v>%</x:v>
      </x:c>
      <x:c r="D6" s="5" t="str">
        <x:v>总股本分母；显示至四位小数</x:v>
      </x:c>
      <x:c r="E6" s="5" t="str">
        <x:v>13_2024年年度报告_20250418.pdf，物理第105页</x:v>
      </x:c>
    </x:row>
    <x:row r="7" ht="30" customHeight="1">
      <x:c r="A7" s="5" t="str">
        <x:v>4月7日控制表决权比例</x:v>
      </x:c>
      <x:c r="B7" s="11" t="n">
        <x:f>B5/B2</x:f>
        <x:v>0.2824990195138043</x:v>
      </x:c>
      <x:c r="C7" s="5" t="str">
        <x:v>%</x:v>
      </x:c>
      <x:c r="D7" s="5" t="str">
        <x:v>总股本分母；公告四舍五入28.25%</x:v>
      </x:c>
      <x:c r="E7" s="5" t="str">
        <x:v>13_2024年年度报告_20250418.pdf，物理第106页</x:v>
      </x:c>
    </x:row>
    <x:row r="8" ht="30" customHeight="1">
      <x:c r="A8" s="5" t="str">
        <x:v>2024年末所有权</x:v>
      </x:c>
      <x:c r="B8" s="9" t="n">
        <x:v>1329096152</x:v>
      </x:c>
      <x:c r="C8" s="5" t="str">
        <x:v>股</x:v>
      </x:c>
      <x:c r="D8" s="5" t="str">
        <x:v>年末余额，不替代4月7日更新</x:v>
      </x:c>
      <x:c r="E8" s="5" t="str">
        <x:v>13_2024年年度报告_20250418.pdf，物理第102—103、106页</x:v>
      </x:c>
    </x:row>
    <x:row r="9" ht="30" customHeight="1">
      <x:c r="A9" s="5" t="str">
        <x:v>年末至4月7日持股增量</x:v>
      </x:c>
      <x:c r="B9" s="10" t="n">
        <x:f>B3-B8</x:f>
        <x:v>109058400</x:v>
      </x:c>
      <x:c r="C9" s="5" t="str">
        <x:v>股</x:v>
      </x:c>
      <x:c r="D9" s="5" t="str">
        <x:v>两时点持股余额之差，不认作单日交易量</x:v>
      </x:c>
      <x:c r="E9" s="5" t="str">
        <x:v>13_2024年年度报告_20250418.pdf，物理第102—103、105—106页</x:v>
      </x:c>
    </x:row>
    <x:row r="10" ht="30" customHeight="1">
      <x:c r="A10" s="5" t="str">
        <x:v>2024年7月出席代表股数</x:v>
      </x:c>
      <x:c r="B10" s="9" t="n">
        <x:v>3357296118</x:v>
      </x:c>
      <x:c r="C10" s="5" t="str">
        <x:v>股</x:v>
      </x:c>
      <x:c r="D10" s="5" t="str">
        <x:v>出席分母</x:v>
      </x:c>
      <x:c r="E10" s="5" t="str">
        <x:v>14_第二次临时股东大会法律意见_20240730.pdf，物理第4页</x:v>
      </x:c>
    </x:row>
    <x:row r="11" ht="30" customHeight="1">
      <x:c r="A11" s="5" t="str">
        <x:v>两关联议案有效分母</x:v>
      </x:c>
      <x:c r="B11" s="9" t="n">
        <x:v>1591130310</x:v>
      </x:c>
      <x:c r="C11" s="5" t="str">
        <x:v>股</x:v>
      </x:c>
      <x:c r="D11" s="5" t="str">
        <x:v>同意、反对、弃权之和</x:v>
      </x:c>
      <x:c r="E11" s="5" t="str">
        <x:v>14_第二次临时股东大会法律意见_20240730.pdf，物理第6页</x:v>
      </x:c>
    </x:row>
    <x:row r="12" ht="30" customHeight="1">
      <x:c r="A12" s="5" t="str">
        <x:v>因回避剔除的表决权</x:v>
      </x:c>
      <x:c r="B12" s="10" t="n">
        <x:f>B10-B11</x:f>
        <x:v>1766165808</x:v>
      </x:c>
      <x:c r="C12" s="5" t="str">
        <x:v>股</x:v>
      </x:c>
      <x:c r="D12" s="5" t="str">
        <x:v>出席代表股数减两关联议案有效分母</x:v>
      </x:c>
      <x:c r="E12" s="5" t="str">
        <x:v>14_第二次临时股东大会法律意见_20240730.pdf，物理第4、6页</x:v>
      </x:c>
    </x:row>
    <x:row r="13" ht="30" customHeight="1">
      <x:c r="A13" s="5" t="str">
        <x:v>第九次修正案同意票</x:v>
      </x:c>
      <x:c r="B13" s="9" t="n">
        <x:v>1461974141</x:v>
      </x:c>
      <x:c r="C13" s="5" t="str">
        <x:v>股</x:v>
      </x:c>
      <x:c r="D13" s="5" t="str">
        <x:v>第4项议案</x:v>
      </x:c>
      <x:c r="E13" s="5" t="str">
        <x:v>14_第二次临时股东大会法律意见_20240730.pdf，物理第6页</x:v>
      </x:c>
    </x:row>
    <x:row r="14" ht="30" customHeight="1">
      <x:c r="A14" s="5" t="str">
        <x:v>第九次修正案同意比例</x:v>
      </x:c>
      <x:c r="B14" s="11" t="n">
        <x:f>B13/B11</x:f>
        <x:v>0.9188274095539039</x:v>
      </x:c>
      <x:c r="C14" s="5" t="str">
        <x:v>%</x:v>
      </x:c>
      <x:c r="D14" s="5" t="str">
        <x:v>分母为非关联有效表决权</x:v>
      </x:c>
      <x:c r="E14" s="5" t="str">
        <x:v>14_第二次临时股东大会法律意见_20240730.pdf，物理第6页</x:v>
      </x:c>
    </x:row>
    <x:row r="15" ht="30" customHeight="1">
      <x:c r="A15" s="5" t="str">
        <x:v>战略合作总协议同意票</x:v>
      </x:c>
      <x:c r="B15" s="9" t="n">
        <x:v>1462154241</x:v>
      </x:c>
      <x:c r="C15" s="5" t="str">
        <x:v>股</x:v>
      </x:c>
      <x:c r="D15" s="5" t="str">
        <x:v>第5项议案</x:v>
      </x:c>
      <x:c r="E15" s="5" t="str">
        <x:v>14_第二次临时股东大会法律意见_20240730.pdf，物理第6页</x:v>
      </x:c>
    </x:row>
    <x:row r="16" ht="30" customHeight="1">
      <x:c r="A16" s="5" t="str">
        <x:v>战略合作总协议同意比例</x:v>
      </x:c>
      <x:c r="B16" s="11" t="n">
        <x:f>B15/B11</x:f>
        <x:v>0.9189405995288972</x:v>
      </x:c>
      <x:c r="C16" s="5" t="str">
        <x:v>%</x:v>
      </x:c>
      <x:c r="D16" s="5" t="str">
        <x:v>分母同上</x:v>
      </x:c>
      <x:c r="E16" s="5" t="str">
        <x:v>14_第二次临时股东大会法律意见_20240730.pdf，物理第6页</x:v>
      </x:c>
    </x:row>
    <x:row r="17" ht="30" customHeight="1">
      <x:c r="A17" s="5" t="str">
        <x:v>2019—2023 GDS净利润</x:v>
      </x:c>
      <x:c r="B17" s="9" t="n">
        <x:v>916417</x:v>
      </x:c>
      <x:c r="C17" s="5" t="str">
        <x:v>千美元</x:v>
      </x:c>
      <x:c r="D17" s="5" t="str">
        <x:v>专项审核IFRS累计口径</x:v>
      </x:c>
      <x:c r="E17" s="5" t="str">
        <x:v>05_GDS业绩承诺专项审核意见_20240429.pdf，物理第8页</x:v>
      </x:c>
    </x:row>
    <x:row r="18" ht="30" customHeight="1">
      <x:c r="A18" s="5" t="str">
        <x:v>所得税费用</x:v>
      </x:c>
      <x:c r="B18" s="9" t="n">
        <x:v>258769</x:v>
      </x:c>
      <x:c r="C18" s="5" t="str">
        <x:v>千美元</x:v>
      </x:c>
      <x:c r="D18" s="5" t="str">
        <x:v>EBITDA加回</x:v>
      </x:c>
      <x:c r="E18" s="5" t="str">
        <x:v>05_GDS业绩承诺专项审核意见_20240429.pdf，物理第8页</x:v>
      </x:c>
    </x:row>
    <x:row r="19" ht="30" customHeight="1">
      <x:c r="A19" s="5" t="str">
        <x:v>财务费用</x:v>
      </x:c>
      <x:c r="B19" s="9" t="n">
        <x:v>31765</x:v>
      </x:c>
      <x:c r="C19" s="5" t="str">
        <x:v>千美元</x:v>
      </x:c>
      <x:c r="D19" s="5" t="str">
        <x:v>含租赁利息，加回</x:v>
      </x:c>
      <x:c r="E19" s="5" t="str">
        <x:v>05_GDS业绩承诺专项审核意见_20240429.pdf，物理第8页</x:v>
      </x:c>
    </x:row>
    <x:row r="20" ht="30" customHeight="1">
      <x:c r="A20" s="5" t="str">
        <x:v>财务收益</x:v>
      </x:c>
      <x:c r="B20" s="9" t="n">
        <x:v>170095</x:v>
      </x:c>
      <x:c r="C20" s="5" t="str">
        <x:v>千美元</x:v>
      </x:c>
      <x:c r="D20" s="5" t="str">
        <x:v>从EBITDA中减去</x:v>
      </x:c>
      <x:c r="E20" s="5" t="str">
        <x:v>05_GDS业绩承诺专项审核意见_20240429.pdf，物理第8页</x:v>
      </x:c>
    </x:row>
    <x:row r="21" ht="30" customHeight="1">
      <x:c r="A21" s="5" t="str">
        <x:v>汇兑损失</x:v>
      </x:c>
      <x:c r="B21" s="9" t="n">
        <x:v>6192</x:v>
      </x:c>
      <x:c r="C21" s="5" t="str">
        <x:v>千美元</x:v>
      </x:c>
      <x:c r="D21" s="5" t="str">
        <x:v>加回</x:v>
      </x:c>
      <x:c r="E21" s="5" t="str">
        <x:v>05_GDS业绩承诺专项审核意见_20240429.pdf，物理第8页</x:v>
      </x:c>
    </x:row>
    <x:row r="22" ht="30" customHeight="1">
      <x:c r="A22" s="5" t="str">
        <x:v>折旧摊销</x:v>
      </x:c>
      <x:c r="B22" s="9" t="n">
        <x:v>260760</x:v>
      </x:c>
      <x:c r="C22" s="5" t="str">
        <x:v>千美元</x:v>
      </x:c>
      <x:c r="D22" s="5" t="str">
        <x:v>加回</x:v>
      </x:c>
      <x:c r="E22" s="5" t="str">
        <x:v>05_GDS业绩承诺专项审核意见_20240429.pdf，物理第8页</x:v>
      </x:c>
    </x:row>
    <x:row r="23" ht="30" customHeight="1">
      <x:c r="A23" s="5" t="str">
        <x:v>旧承诺实际累计EBITDA</x:v>
      </x:c>
      <x:c r="B23" s="10" t="n">
        <x:f>B17+B18+B19-B20+B21+B22</x:f>
        <x:v>1303808</x:v>
      </x:c>
      <x:c r="C23" s="5" t="str">
        <x:v>千美元</x:v>
      </x:c>
      <x:c r="D23" s="5" t="str">
        <x:v>净利+税费+财务费用-财务收益+汇兑损失+折旧摊销</x:v>
      </x:c>
      <x:c r="E23" s="5" t="str">
        <x:v>05_GDS业绩承诺专项审核意见_20240429.pdf，物理第8页</x:v>
      </x:c>
    </x:row>
    <x:row r="24" ht="30" customHeight="1">
      <x:c r="A24" s="5" t="str">
        <x:v>旧承诺目标</x:v>
      </x:c>
      <x:c r="B24" s="9" t="n">
        <x:v>1300000</x:v>
      </x:c>
      <x:c r="C24" s="5" t="str">
        <x:v>千美元</x:v>
      </x:c>
      <x:c r="D24" s="5" t="str">
        <x:v>2019年1月1日至2023年12月31日</x:v>
      </x:c>
      <x:c r="E24" s="5" t="str">
        <x:v>05_GDS业绩承诺专项审核意见_20240429.pdf，物理第7—8页</x:v>
      </x:c>
    </x:row>
    <x:row r="25" ht="30" customHeight="1">
      <x:c r="A25" s="5" t="str">
        <x:v>旧承诺超额</x:v>
      </x:c>
      <x:c r="B25" s="10" t="n">
        <x:f>B23-B24</x:f>
        <x:v>3808</x:v>
      </x:c>
      <x:c r="C25" s="5" t="str">
        <x:v>千美元</x:v>
      </x:c>
      <x:c r="D25" s="5" t="str">
        <x:v>正差额，无需旧承诺差额补偿</x:v>
      </x:c>
      <x:c r="E25" s="5" t="str">
        <x:v>05_GDS业绩承诺专项审核意见_20240429.pdf，物理第8页</x:v>
      </x:c>
    </x:row>
    <x:row r="26" ht="30" customHeight="1">
      <x:c r="A26" s="5" t="str">
        <x:v>旧承诺完成率</x:v>
      </x:c>
      <x:c r="B26" s="12" t="n">
        <x:f>B23/B24</x:f>
        <x:v>1.0029292307692308</x:v>
      </x:c>
      <x:c r="C26" s="5" t="str">
        <x:v>%</x:v>
      </x:c>
      <x:c r="D26" s="5" t="str">
        <x:v>实际÷目标</x:v>
      </x:c>
      <x:c r="E26" s="5" t="str">
        <x:v>05_GDS业绩承诺专项审核意见_20240429.pdf，物理第8页</x:v>
      </x:c>
    </x:row>
    <x:row r="27" ht="30" customHeight="1">
      <x:c r="A27" s="5" t="str">
        <x:v>上海莱士GDS权益比例</x:v>
      </x:c>
      <x:c r="B27" s="12" t="n">
        <x:v>0.45</x:v>
      </x:c>
      <x:c r="C27" s="5" t="str">
        <x:v>%</x:v>
      </x:c>
      <x:c r="D27" s="5" t="str">
        <x:v>经济权益，不等于40%A类表决权</x:v>
      </x:c>
      <x:c r="E27" s="5" t="str">
        <x:v>05_GDS业绩承诺专项审核意见_20240429.pdf，物理第7页</x:v>
      </x:c>
    </x:row>
    <x:row r="28" ht="30" customHeight="1">
      <x:c r="A28" s="5" t="str">
        <x:v>2024 GDS净利润（未经审计）</x:v>
      </x:c>
      <x:c r="B28" s="9" t="n">
        <x:v>119517511</x:v>
      </x:c>
      <x:c r="C28" s="5" t="str">
        <x:v>美元</x:v>
      </x:c>
      <x:c r="D28" s="5" t="str">
        <x:v>只作股利条件试算，不替代最终审计数据</x:v>
      </x:c>
      <x:c r="E28" s="5" t="str">
        <x:v>11_2025年度日常关联交易预计公告_20250123.pdf，物理第6页</x:v>
      </x:c>
    </x:row>
    <x:row r="29" ht="30" customHeight="1">
      <x:c r="A29" s="5" t="str">
        <x:v>披露向上海莱士分配股利</x:v>
      </x:c>
      <x:c r="B29" s="9" t="n">
        <x:v>27000000</x:v>
      </x:c>
      <x:c r="C29" s="5" t="str">
        <x:v>美元</x:v>
      </x:c>
      <x:c r="D29" s="5" t="str">
        <x:v>2024年12月2日GDS董事会书面同意；未提供收款回单</x:v>
      </x:c>
      <x:c r="E29" s="5" t="str">
        <x:v>13_2024年年度报告_20250418.pdf，物理第210页</x:v>
      </x:c>
    </x:row>
    <x:row r="30" ht="30" customHeight="1">
      <x:c r="A30" s="5" t="str">
        <x:v>按45%反推同口径总宣派</x:v>
      </x:c>
      <x:c r="B30" s="10" t="n">
        <x:f>B29/B27</x:f>
        <x:v>60000000</x:v>
      </x:c>
      <x:c r="C30" s="5" t="str">
        <x:v>美元</x:v>
      </x:c>
      <x:c r="D30" s="5" t="str">
        <x:v>假设各股东按同一经济比例分配</x:v>
      </x:c>
      <x:c r="E30" s="5" t="str">
        <x:v>13_2024年年度报告_20250418.pdf，物理第210页</x:v>
      </x:c>
    </x:row>
    <x:row r="31" ht="30" customHeight="1">
      <x:c r="A31" s="5" t="str">
        <x:v>净利润最低宣派比例</x:v>
      </x:c>
      <x:c r="B31" s="12" t="n">
        <x:v>0.5</x:v>
      </x:c>
      <x:c r="C31" s="5" t="str">
        <x:v>%</x:v>
      </x:c>
      <x:c r="D31" s="5" t="str">
        <x:v>以基立福继续控制GDS等条件成立为前提</x:v>
      </x:c>
      <x:c r="E31" s="5" t="str">
        <x:v>13_2024年年度报告_20250418.pdf，物理第84、210页</x:v>
      </x:c>
    </x:row>
    <x:row r="32" ht="42" customHeight="1">
      <x:c r="A32" s="5" t="str">
        <x:v>未审净利口径最低总宣派</x:v>
      </x:c>
      <x:c r="B32" s="10" t="n">
        <x:f>B28*B31</x:f>
        <x:v>59758755.5</x:v>
      </x:c>
      <x:c r="C32" s="5" t="str">
        <x:v>美元</x:v>
      </x:c>
      <x:c r="D32" s="5" t="str">
        <x:v>条件试算，非年度最终合规结论</x:v>
      </x:c>
      <x:c r="E32" s="5" t="str">
        <x:v>11_2025年度日常关联交易预计公告_20250123.pdf，物理第6页；13_2024年年度报告_20250418.pdf，物理第210页</x:v>
      </x:c>
    </x:row>
    <x:row r="33" ht="42" customHeight="1">
      <x:c r="A33" s="5" t="str">
        <x:v>条件试算总额高出值</x:v>
      </x:c>
      <x:c r="B33" s="10" t="n">
        <x:f>B30-B32</x:f>
        <x:v>241244.5</x:v>
      </x:c>
      <x:c r="C33" s="5" t="str">
        <x:v>美元</x:v>
      </x:c>
      <x:c r="D33" s="5" t="str">
        <x:v>不能据未审数认定差额已最终核清</x:v>
      </x:c>
      <x:c r="E33" s="5" t="str">
        <x:v>11_2025年度日常关联交易预计公告_20250123.pdf，物理第6页；13_2024年年度报告_20250418.pdf，物理第210页</x:v>
      </x:c>
    </x:row>
    <x:row r="34" ht="42" customHeight="1">
      <x:c r="A34" s="5" t="str">
        <x:v>条件试算公司份额</x:v>
      </x:c>
      <x:c r="B34" s="10" t="n">
        <x:f>B32*B27</x:f>
        <x:v>26891439.975</x:v>
      </x:c>
      <x:c r="C34" s="5" t="str">
        <x:v>美元</x:v>
      </x:c>
      <x:c r="D34" s="5" t="str">
        <x:v>最低总额×45%</x:v>
      </x:c>
      <x:c r="E34" s="5" t="str">
        <x:v>11_2025年度日常关联交易预计公告_20250123.pdf，物理第6页；13_2024年年度报告_20250418.pdf，物理第210页</x:v>
      </x:c>
    </x:row>
    <x:row r="35" ht="30" customHeight="1">
      <x:c r="A35" s="5" t="str">
        <x:v>年报GDS净利（权益法计量前调整口径）</x:v>
      </x:c>
      <x:c r="B35" s="10" t="n">
        <x:v>757042715.89</x:v>
      </x:c>
      <x:c r="C35" s="5" t="str">
        <x:v>人民币元</x:v>
      </x:c>
      <x:c r="D35" s="5" t="str">
        <x:v>不同于GDS合同分红的当然分母</x:v>
      </x:c>
      <x:c r="E35" s="5" t="str">
        <x:v>13_2024年年度报告_20250418.pdf，物理第287—288页</x:v>
      </x:c>
    </x:row>
    <x:row r="36" ht="30" customHeight="1">
      <x:c r="A36" s="5" t="str">
        <x:v>统一会计政策净利调整</x:v>
      </x:c>
      <x:c r="B36" s="10" t="n">
        <x:v>23959556.67</x:v>
      </x:c>
      <x:c r="C36" s="5" t="str">
        <x:v>人民币元</x:v>
      </x:c>
      <x:c r="D36" s="5" t="str">
        <x:v>SMC相关递延所得税费用</x:v>
      </x:c>
      <x:c r="E36" s="5" t="str">
        <x:v>13_2024年年度报告_20250418.pdf，物理第288页</x:v>
      </x:c>
    </x:row>
    <x:row r="37" ht="30" customHeight="1">
      <x:c r="A37" s="5" t="str">
        <x:v>统一政策后的GDS净利润</x:v>
      </x:c>
      <x:c r="B37" s="10" t="n">
        <x:f>B35-B36</x:f>
        <x:v>733083159.22</x:v>
      </x:c>
      <x:c r="C37" s="5" t="str">
        <x:v>人民币元</x:v>
      </x:c>
      <x:c r="D37" s="5" t="str">
        <x:v>年报权益法测算口径</x:v>
      </x:c>
      <x:c r="E37" s="5" t="str">
        <x:v>13_2024年年度报告_20250418.pdf，物理第288页</x:v>
      </x:c>
    </x:row>
    <x:row r="38" ht="30" customHeight="1">
      <x:c r="A38" s="5" t="str">
        <x:v>上海莱士权益法投资损益</x:v>
      </x:c>
      <x:c r="B38" s="10" t="n">
        <x:f>B37*B27</x:f>
        <x:v>329887421.64900005</x:v>
      </x:c>
      <x:c r="C38" s="5" t="str">
        <x:v>人民币元</x:v>
      </x:c>
      <x:c r="D38" s="5" t="str">
        <x:v>调整后利润×45%，与投资附注核对</x:v>
      </x:c>
      <x:c r="E38" s="5" t="str">
        <x:v>13_2024年年度报告_20250418.pdf，物理第209、288页</x:v>
      </x:c>
    </x:row>
    <x:row r="39" ht="30" customHeight="1">
      <x:c r="A39" s="5" t="str">
        <x:v>年报列示权益法投资损益</x:v>
      </x:c>
      <x:c r="B39" s="10" t="n">
        <x:v>329887421.64</x:v>
      </x:c>
      <x:c r="C39" s="5" t="str">
        <x:v>人民币元</x:v>
      </x:c>
      <x:c r="D39" s="5" t="str">
        <x:v>用于投资变动勾稽；与复算的一分差为列示舍入差</x:v>
      </x:c>
      <x:c r="E39" s="5" t="str">
        <x:v>13_2024年年度报告_20250418.pdf，物理第209页</x:v>
      </x:c>
    </x:row>
    <x:row r="40" ht="30" customHeight="1">
      <x:c r="A40" s="5" t="str">
        <x:v>GDS投资期初账面价值</x:v>
      </x:c>
      <x:c r="B40" s="10" t="n">
        <x:v>14776453859.68</x:v>
      </x:c>
      <x:c r="C40" s="5" t="str">
        <x:v>人民币元</x:v>
      </x:c>
      <x:c r="D40" s="5" t="str">
        <x:v>仅GDS，不包括同方莱士</x:v>
      </x:c>
      <x:c r="E40" s="5" t="str">
        <x:v>13_2024年年度报告_20250418.pdf，物理第209页</x:v>
      </x:c>
    </x:row>
    <x:row r="41" ht="30" customHeight="1">
      <x:c r="A41" s="5" t="str">
        <x:v>其他综合收益调整</x:v>
      </x:c>
      <x:c r="B41" s="10" t="n">
        <x:v>191897329.72</x:v>
      </x:c>
      <x:c r="C41" s="5" t="str">
        <x:v>人民币元</x:v>
      </x:c>
      <x:c r="D41" s="5" t="str">
        <x:v>投资增减变动</x:v>
      </x:c>
      <x:c r="E41" s="5" t="str">
        <x:v>13_2024年年度报告_20250418.pdf，物理第209页</x:v>
      </x:c>
    </x:row>
    <x:row r="42" ht="30" customHeight="1">
      <x:c r="A42" s="5" t="str">
        <x:v>其他权益变动</x:v>
      </x:c>
      <x:c r="B42" s="10" t="n">
        <x:v>1008792.22</x:v>
      </x:c>
      <x:c r="C42" s="5" t="str">
        <x:v>人民币元</x:v>
      </x:c>
      <x:c r="D42" s="5" t="str">
        <x:v>投资增减变动</x:v>
      </x:c>
      <x:c r="E42" s="5" t="str">
        <x:v>13_2024年年度报告_20250418.pdf，物理第209页</x:v>
      </x:c>
    </x:row>
    <x:row r="43" ht="30" customHeight="1">
      <x:c r="A43" s="5" t="str">
        <x:v>宣告股利账面冲减</x:v>
      </x:c>
      <x:c r="B43" s="10" t="n">
        <x:v>194035500</x:v>
      </x:c>
      <x:c r="C43" s="5" t="str">
        <x:v>人民币元</x:v>
      </x:c>
      <x:c r="D43" s="5" t="str">
        <x:v>不得重复确认为权益法投资收益</x:v>
      </x:c>
      <x:c r="E43" s="5" t="str">
        <x:v>13_2024年年度报告_20250418.pdf，物理第209页</x:v>
      </x:c>
    </x:row>
    <x:row r="44" ht="30" customHeight="1">
      <x:c r="A44" s="5" t="str">
        <x:v>其他减少</x:v>
      </x:c>
      <x:c r="B44" s="10" t="n">
        <x:v>19029872.45</x:v>
      </x:c>
      <x:c r="C44" s="5" t="str">
        <x:v>人民币元</x:v>
      </x:c>
      <x:c r="D44" s="5" t="str">
        <x:v>原表其他列为负数</x:v>
      </x:c>
      <x:c r="E44" s="5" t="str">
        <x:v>13_2024年年度报告_20250418.pdf，物理第209页</x:v>
      </x:c>
    </x:row>
    <x:row r="45" ht="30" customHeight="1">
      <x:c r="A45" s="5" t="str">
        <x:v>GDS投资期末账面价值复算</x:v>
      </x:c>
      <x:c r="B45" s="10" t="n">
        <x:f>B40+B39+B41+B42-B43-B44</x:f>
        <x:v>15086182030.809998</x:v>
      </x:c>
      <x:c r="C45" s="5" t="str">
        <x:v>人民币元</x:v>
      </x:c>
      <x:c r="D45" s="5" t="str">
        <x:v>期初+列示损益+综合收益+权益变动-股利-其他减少</x:v>
      </x:c>
      <x:c r="E45" s="5" t="str">
        <x:v>13_2024年年度报告_20250418.pdf，物理第209页</x:v>
      </x:c>
    </x:row>
    <x:row r="46" ht="30" customHeight="1">
      <x:c r="A46" s="5" t="str">
        <x:v>2024全球预算</x:v>
      </x:c>
      <x:c r="B46" s="9" t="n">
        <x:v>562000000</x:v>
      </x:c>
      <x:c r="C46" s="5" t="str">
        <x:v>美元</x:v>
      </x:c>
      <x:c r="D46" s="5" t="str">
        <x:v>与实际披露美元概数比较</x:v>
      </x:c>
      <x:c r="E46" s="5" t="str">
        <x:v>03_独家代理协议及关联交易公告_20240122.pdf，物理第1—2页</x:v>
      </x:c>
    </x:row>
    <x:row r="47" ht="30" customHeight="1">
      <x:c r="A47" s="5" t="str">
        <x:v>2024全球实际（披露概数）</x:v>
      </x:c>
      <x:c r="B47" s="9" t="n">
        <x:v>487000000</x:v>
      </x:c>
      <x:c r="C47" s="5" t="str">
        <x:v>美元</x:v>
      </x:c>
      <x:c r="D47" s="5" t="str">
        <x:v>审计附注美元栏以亿元概数披露</x:v>
      </x:c>
      <x:c r="E47" s="5" t="str">
        <x:v>13_2024年年度报告_20250418.pdf，物理第305页</x:v>
      </x:c>
    </x:row>
    <x:row r="48" ht="30" customHeight="1">
      <x:c r="A48" s="5" t="str">
        <x:v>全球预算执行率</x:v>
      </x:c>
      <x:c r="B48" s="12" t="n">
        <x:f>B47/B46</x:f>
        <x:v>0.8665480427046264</x:v>
      </x:c>
      <x:c r="C48" s="5" t="str">
        <x:v>%</x:v>
      </x:c>
      <x:c r="D48" s="5" t="str">
        <x:v>不作为产品数量履约率</x:v>
      </x:c>
      <x:c r="E48" s="5" t="str">
        <x:v>13_2024年年度报告_20250418.pdf，物理第305页</x:v>
      </x:c>
    </x:row>
    <x:row r="49" ht="30" customHeight="1">
      <x:c r="A49" s="5" t="str">
        <x:v>2024 GDS预算</x:v>
      </x:c>
      <x:c r="B49" s="9" t="n">
        <x:v>20000000</x:v>
      </x:c>
      <x:c r="C49" s="5" t="str">
        <x:v>美元</x:v>
      </x:c>
      <x:c r="D49" s="5" t="str">
        <x:v>年度预算</x:v>
      </x:c>
      <x:c r="E49" s="5" t="str">
        <x:v>03_独家代理协议及关联交易公告_20240122.pdf，物理第1—2页</x:v>
      </x:c>
    </x:row>
    <x:row r="50" ht="30" customHeight="1">
      <x:c r="A50" s="5" t="str">
        <x:v>2024 GDS实际（披露概数）</x:v>
      </x:c>
      <x:c r="B50" s="9" t="n">
        <x:v>13000000</x:v>
      </x:c>
      <x:c r="C50" s="5" t="str">
        <x:v>美元</x:v>
      </x:c>
      <x:c r="D50" s="5" t="str">
        <x:v>美元概数</x:v>
      </x:c>
      <x:c r="E50" s="5" t="str">
        <x:v>13_2024年年度报告_20250418.pdf，物理第305页</x:v>
      </x:c>
    </x:row>
    <x:row r="51" ht="30" customHeight="1">
      <x:c r="A51" s="5" t="str">
        <x:v>GDS预算执行率</x:v>
      </x:c>
      <x:c r="B51" s="12" t="n">
        <x:f>B50/B49</x:f>
        <x:v>0.65</x:v>
      </x:c>
      <x:c r="C51" s="5" t="str">
        <x:v>%</x:v>
      </x:c>
      <x:c r="D51" s="5" t="str">
        <x:v>不作为进口数量履约率</x:v>
      </x:c>
      <x:c r="E51" s="5" t="str">
        <x:v>13_2024年年度报告_20250418.pdf，物理第305页</x:v>
      </x:c>
    </x:row>
    <x:row r="52" ht="30" customHeight="1">
      <x:c r="A52" s="5" t="str">
        <x:v>2024全球审定采购</x:v>
      </x:c>
      <x:c r="B52" s="10" t="n">
        <x:v>3468882026.17</x:v>
      </x:c>
      <x:c r="C52" s="5" t="str">
        <x:v>人民币元</x:v>
      </x:c>
      <x:c r="D52" s="5" t="str">
        <x:v>使用附注精确元数</x:v>
      </x:c>
      <x:c r="E52" s="5" t="str">
        <x:v>13_2024年年度报告_20250418.pdf，物理第305页</x:v>
      </x:c>
    </x:row>
    <x:row r="53" ht="30" customHeight="1">
      <x:c r="A53" s="5" t="str">
        <x:v>2024 GDS审定采购</x:v>
      </x:c>
      <x:c r="B53" s="10" t="n">
        <x:v>90937545.47</x:v>
      </x:c>
      <x:c r="C53" s="5" t="str">
        <x:v>人民币元</x:v>
      </x:c>
      <x:c r="D53" s="5" t="str">
        <x:v>使用附注精确元数</x:v>
      </x:c>
      <x:c r="E53" s="5" t="str">
        <x:v>13_2024年年度报告_20250418.pdf，物理第305页</x:v>
      </x:c>
    </x:row>
    <x:row r="54" ht="30" customHeight="1">
      <x:c r="A54" s="5" t="str">
        <x:v>2024上海审定采购</x:v>
      </x:c>
      <x:c r="B54" s="10" t="n">
        <x:v>1958880</x:v>
      </x:c>
      <x:c r="C54" s="5" t="str">
        <x:v>人民币元</x:v>
      </x:c>
      <x:c r="D54" s="5" t="str">
        <x:v>概览195.89万元为舍入值</x:v>
      </x:c>
      <x:c r="E54" s="5" t="str">
        <x:v>13_2024年年度报告_20250418.pdf，物理第305页</x:v>
      </x:c>
    </x:row>
    <x:row r="55" ht="30" customHeight="1">
      <x:c r="A55" s="5" t="str">
        <x:v>上述三方审定采购合计</x:v>
      </x:c>
      <x:c r="B55" s="10" t="n">
        <x:f>SUM(B52:B54)</x:f>
        <x:v>3561778451.64</x:v>
      </x:c>
      <x:c r="C55" s="5" t="str">
        <x:v>人民币元</x:v>
      </x:c>
      <x:c r="D55" s="5" t="str">
        <x:v>同币种同期间三项之和</x:v>
      </x:c>
      <x:c r="E55" s="5" t="str">
        <x:v>13_2024年年度报告_20250418.pdf，物理第305页</x:v>
      </x:c>
    </x:row>
    <x:row r="56" ht="30" customHeight="1">
      <x:c r="A56" s="5" t="str">
        <x:v>2025全球预算</x:v>
      </x:c>
      <x:c r="B56" s="9" t="n">
        <x:v>520000000</x:v>
      </x:c>
      <x:c r="C56" s="5" t="str">
        <x:v>美元</x:v>
      </x:c>
      <x:c r="D56" s="5" t="str">
        <x:v>不含可能取得现金折扣、汇率补偿</x:v>
      </x:c>
      <x:c r="E56" s="5" t="str">
        <x:v>11_2025年度日常关联交易预计公告_20250123.pdf，物理第1—2页</x:v>
      </x:c>
    </x:row>
    <x:row r="57" ht="30" customHeight="1">
      <x:c r="A57" s="5" t="str">
        <x:v>2025 GDS预算</x:v>
      </x:c>
      <x:c r="B57" s="9" t="n">
        <x:v>20000000</x:v>
      </x:c>
      <x:c r="C57" s="5" t="str">
        <x:v>美元</x:v>
      </x:c>
      <x:c r="D57" s="5" t="str">
        <x:v>年预算</x:v>
      </x:c>
      <x:c r="E57" s="5" t="str">
        <x:v>11_2025年度日常关联交易预计公告_20250123.pdf，物理第1—2页</x:v>
      </x:c>
    </x:row>
    <x:row r="58" ht="30" customHeight="1">
      <x:c r="A58" s="5" t="str">
        <x:v>2025美元预算合计</x:v>
      </x:c>
      <x:c r="B58" s="10" t="n">
        <x:f>B56+B57</x:f>
        <x:v>540000000</x:v>
      </x:c>
      <x:c r="C58" s="5" t="str">
        <x:v>美元</x:v>
      </x:c>
      <x:c r="D58" s="5" t="str">
        <x:v>分别管理，不与人民币直接加总</x:v>
      </x:c>
      <x:c r="E58" s="5" t="str">
        <x:v>11_2025年度日常关联交易预计公告_20250123.pdf，物理第1—2页</x:v>
      </x:c>
    </x:row>
    <x:row r="59" ht="30" customHeight="1">
      <x:c r="A59" s="5" t="str">
        <x:v>2025海尔生物预算</x:v>
      </x:c>
      <x:c r="B59" s="9" t="n">
        <x:v>50000000</x:v>
      </x:c>
      <x:c r="C59" s="5" t="str">
        <x:v>人民币元</x:v>
      </x:c>
      <x:c r="D59" s="5" t="str">
        <x:v>年预算</x:v>
      </x:c>
      <x:c r="E59" s="5" t="str">
        <x:v>11_2025年度日常关联交易预计公告_20250123.pdf，物理第1—2页</x:v>
      </x:c>
    </x:row>
    <x:row r="60" ht="30" customHeight="1">
      <x:c r="A60" s="5" t="str">
        <x:v>2025基立福上海预算</x:v>
      </x:c>
      <x:c r="B60" s="9" t="n">
        <x:v>1958900</x:v>
      </x:c>
      <x:c r="C60" s="5" t="str">
        <x:v>人民币元</x:v>
      </x:c>
      <x:c r="D60" s="5" t="str">
        <x:v>年预算，不等于2024审定采购精确值</x:v>
      </x:c>
      <x:c r="E60" s="5" t="str">
        <x:v>11_2025年度日常关联交易预计公告_20250123.pdf，物理第1—2页</x:v>
      </x:c>
    </x:row>
    <x:row r="61" ht="30" customHeight="1">
      <x:c r="A61" s="5" t="str">
        <x:v>2025人民币预算合计</x:v>
      </x:c>
      <x:c r="B61" s="10" t="n">
        <x:f>B59+B60</x:f>
        <x:v>51958900</x:v>
      </x:c>
      <x:c r="C61" s="5" t="str">
        <x:v>人民币元</x:v>
      </x:c>
      <x:c r="D61" s="5" t="str">
        <x:v>不包括美元预算</x:v>
      </x:c>
      <x:c r="E61" s="5" t="str">
        <x:v>11_2025年度日常关联交易预计公告_20250123.pdf，物理第1—2页</x:v>
      </x:c>
    </x:row>
    <x:row r="62" ht="42" customHeight="1">
      <x:c r="A62" s="5" t="str">
        <x:v>年末担保余额</x:v>
      </x:c>
      <x:c r="B62" s="9" t="n">
        <x:v>143208300</x:v>
      </x:c>
      <x:c r="C62" s="5" t="str">
        <x:v>美元</x:v>
      </x:c>
      <x:c r="D62" s="5" t="str">
        <x:v>由14,320.83万美元换算，保持原披露精度；包括全球、GDS、上海，范围与两份名义额度不同</x:v>
      </x:c>
      <x:c r="E62" s="5" t="str">
        <x:v>13_2024年年度报告_20250418.pdf，物理第93页</x:v>
      </x:c>
    </x:row>
    <x:row r="63" ht="30" customHeight="1">
      <x:c r="A63" s="5" t="str">
        <x:v>股份转让总价</x:v>
      </x:c>
      <x:c r="B63" s="9" t="n">
        <x:v>12500000000</x:v>
      </x:c>
      <x:c r="C63" s="5" t="str">
        <x:v>人民币元</x:v>
      </x:c>
      <x:c r="D63" s="5" t="str">
        <x:v>以总价为责任上限计算基础</x:v>
      </x:c>
      <x:c r="E63" s="5" t="str">
        <x:v>01_详式权益变动报告书_20231230.pdf，物理第16页</x:v>
      </x:c>
    </x:row>
    <x:row r="64" ht="30" customHeight="1">
      <x:c r="A64" s="5" t="str">
        <x:v>卖方其他陈述保证上限</x:v>
      </x:c>
      <x:c r="B64" s="10" t="n">
        <x:f>B63*20%</x:f>
        <x:v>2500000000</x:v>
      </x:c>
      <x:c r="C64" s="5" t="str">
        <x:v>人民币元</x:v>
      </x:c>
      <x:c r="D64" s="5" t="str">
        <x:v>总价20%；不覆盖所有承诺违约</x:v>
      </x:c>
      <x:c r="E64" s="5" t="str">
        <x:v>01_详式权益变动报告书_20231230.pdf，物理第19—20页</x:v>
      </x:c>
    </x:row>
    <x:row r="65" ht="30" customHeight="1">
      <x:c r="A65" s="5" t="str">
        <x:v>买方陈述保证上限</x:v>
      </x:c>
      <x:c r="B65" s="10" t="n">
        <x:f>B63*15%</x:f>
        <x:v>1875000000</x:v>
      </x:c>
      <x:c r="C65" s="5" t="str">
        <x:v>人民币元</x:v>
      </x:c>
      <x:c r="D65" s="5" t="str">
        <x:v>总价15%</x:v>
      </x:c>
      <x:c r="E65" s="5" t="str">
        <x:v>01_详式权益变动报告书_20231230.pdf，物理第20页</x:v>
      </x:c>
    </x:row>
    <x:row r="66" ht="42" customHeight="1">
      <x:c r="A66" s="5" t="str">
        <x:v>新五年承诺EBITDA</x:v>
      </x:c>
      <x:c r="B66" s="9" t="n">
        <x:v>850000000</x:v>
      </x:c>
      <x:c r="C66" s="5" t="str">
        <x:v>美元</x:v>
      </x:c>
      <x:c r="D66" s="5" t="str">
        <x:v>2024—2028累计，不折成2024必达额</x:v>
      </x:c>
      <x:c r="E66" s="5" t="str">
        <x:v>01_详式权益变动报告书_20231230.pdf，物理第18页；13_2024年年度报告_20250418.pdf，物理第84页</x:v>
      </x:c>
    </x:row>
    <x:row r="67" ht="30" customHeight="1">
      <x:c r="A67" s="5" t="str">
        <x:v>图示海尔经海有蓝对海盈康的比例</x:v>
      </x:c>
      <x:c r="B67" s="12" t="n">
        <x:v>0.25</x:v>
      </x:c>
      <x:c r="C67" s="5" t="str">
        <x:v>%</x:v>
      </x:c>
      <x:c r="D67" s="5" t="str">
        <x:v>100%×25%，仅经济路径</x:v>
      </x:c>
      <x:c r="E67" s="5" t="str">
        <x:v>13_2024年年度报告_20250418.pdf，物理第105页</x:v>
      </x:c>
    </x:row>
    <x:row r="68" ht="30" customHeight="1">
      <x:c r="A68" s="5" t="str">
        <x:v>图示经海融等路径的经济比例</x:v>
      </x:c>
      <x:c r="B68" s="12" t="n">
        <x:f>51.2%*100%*100%*75%</x:f>
        <x:v>0.384</x:v>
      </x:c>
      <x:c r="C68" s="5" t="str">
        <x:v>%</x:v>
      </x:c>
      <x:c r="D68" s="5" t="str">
        <x:v>51.2%×100%×100%×75%</x:v>
      </x:c>
      <x:c r="E68" s="5" t="str">
        <x:v>13_2024年年度报告_20250418.pdf，物理第105页</x:v>
      </x:c>
    </x:row>
    <x:row r="69" ht="30" customHeight="1">
      <x:c r="A69" s="5" t="str">
        <x:v>两条图示经济路径合计</x:v>
      </x:c>
      <x:c r="B69" s="12" t="n">
        <x:f>B67+B68</x:f>
        <x:v>0.634</x:v>
      </x:c>
      <x:c r="C69" s="5" t="str">
        <x:v>%</x:v>
      </x:c>
      <x:c r="D69" s="5" t="str">
        <x:v>不作为海尔控制海盈康的表决权比例</x:v>
      </x:c>
      <x:c r="E69" s="5" t="str">
        <x:v>13_2024年年度报告_20250418.pdf，物理第105页</x:v>
      </x:c>
    </x:row>
    <x:row r="70" ht="102" customHeight="1">
      <x:c r="A70" s="5" t="str">
        <x:v>SMC会计口径差异</x:v>
      </x:c>
      <x:c r="B70" s="5" t="n">
        <x:v>202000000</x:v>
      </x:c>
      <x:c r="C70" s="5" t="str">
        <x:v>美元</x:v>
      </x:c>
      <x:c r="D70" s="5" t="str">
        <x:v>GDS按IFRS将SMC技术许可转让成本2.02亿美元确认为无形资产，专项审核说明该交易不影响GDS 2023年度EBITDA及旧承诺完成情况。上海莱士按自身研发资本化政策统一GDS会计政策，因SMC未达到资本化时点，将相关支出扣除递延所得税影响后的净额计入2023年损益；2024年另确认相关递延所得税费用。两种处理的主体和会计口径不同，不构成旧业绩承诺完成结论与上海莱士权益法投资收益披露相互矛盾，也不能把上海莱士调整后的净利润直接替代承诺口径EBITDA。</x:v>
      </x:c>
      <x:c r="E70" s="5" t="str">
        <x:v>05_GDS业绩承诺专项审核意见_20240429.pdf，物理第8页；06_2023年年度报告_20240429.pdf，物理第9、240—241页；13_2024年年度报告_20250418.pdf，物理第8、288页</x:v>
      </x:c>
    </x:row>
    <x:row r="71" ht="30" customHeight="1">
      <x:c r="A71" s="5" t="str">
        <x:v>年报人民币股利反推总额</x:v>
      </x:c>
      <x:c r="B71" s="10" t="n">
        <x:f>B43/B27</x:f>
        <x:v>431190000</x:v>
      </x:c>
      <x:c r="C71" s="5" t="str">
        <x:v>人民币元</x:v>
      </x:c>
      <x:c r="D71" s="5" t="str">
        <x:v>194,035,500元÷45%；以同一年度按比例分配为条件</x:v>
      </x:c>
      <x:c r="E71" s="5" t="str">
        <x:v>13_2024年年度报告_20250418.pdf，物理第209—210页</x:v>
      </x:c>
    </x:row>
    <x:row r="72" ht="30" customHeight="1">
      <x:c r="A72" s="5" t="str">
        <x:v>年报列示GDS净利50%</x:v>
      </x:c>
      <x:c r="B72" s="10" t="n">
        <x:f>B35*B31</x:f>
        <x:v>378521357.945</x:v>
      </x:c>
      <x:c r="C72" s="5" t="str">
        <x:v>人民币元</x:v>
      </x:c>
      <x:c r="D72" s="5" t="str">
        <x:v>757,042,715.89元×50%；作为披露值条件试算</x:v>
      </x:c>
      <x:c r="E72" s="5" t="str">
        <x:v>13_2024年年度报告_20250418.pdf，物理第288页</x:v>
      </x:c>
    </x:row>
    <x:row r="73" ht="30" customHeight="1">
      <x:c r="A73" s="5" t="str">
        <x:v>人民币披露值条件差额</x:v>
      </x:c>
      <x:c r="B73" s="10" t="n">
        <x:f>B71-B72</x:f>
        <x:v>52668642.05500001</x:v>
      </x:c>
      <x:c r="C73" s="5" t="str">
        <x:v>人民币元</x:v>
      </x:c>
      <x:c r="D73" s="5" t="str">
        <x:v>反推总宣派减列示净利50%；正差不直接证明合同最终达标</x:v>
      </x:c>
      <x:c r="E73" s="5" t="str">
        <x:v>13_2024年年度报告_20250418.pdf，物理第209—210、288页</x:v>
      </x:c>
    </x:row>
    <x:row r="74" ht="57" customHeight="1">
      <x:c r="A74" s="5" t="str">
        <x:v>人民币比较的证据边界</x:v>
      </x:c>
      <x:c r="B74" s="5" t="str"/>
      <x:c r="C74" s="5" t="str"/>
      <x:c r="D74" s="5" t="str">
        <x:v>股利为2700万美元折算；净利及股利未证明同一年度和折算期间、汇率及合同利润口径完全可比。法务与财务取得GDS原币审计净利、对应股利决议和折算明细后复核；不把人民币正差替代合同最终合规结论。</x:v>
      </x:c>
      <x:c r="E74" s="5" t="str">
        <x:v>13_2024年年度报告_20250418.pdf，物理第209—210、288页；11_2025年度日常关联交易预计公告_20250123.pdf，物理第6页</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78" hidden="0" customWidth="1"/>
    <x:col min="3" max="3" width="82" hidden="0" customWidth="1"/>
    <x:col min="4" max="4" width="62" hidden="0" customWidth="1"/>
  </x:cols>
  <x:sheetData>
    <x:row r="1" ht="30" customHeight="1">
      <x:c r="A1" s="8" t="str">
        <x:v>事项</x:v>
      </x:c>
      <x:c r="B1" s="8" t="str">
        <x:v>处理意见</x:v>
      </x:c>
      <x:c r="C1" s="8" t="str">
        <x:v>执行条件及证据</x:v>
      </x:c>
      <x:c r="D1" s="8" t="str">
        <x:v>依据</x:v>
      </x:c>
    </x:row>
    <x:row r="2" ht="42" customHeight="1">
      <x:c r="A2" s="5" t="str">
        <x:v>2025年度批准</x:v>
      </x:c>
      <x:c r="B2" s="5" t="str">
        <x:v>1月22日董事会通过后，2月14日股东大会已经批准日常关联交易议案，海盈康及基立福回避；同意1,035,621,464股，按有效分母1,063,077,877股约97.4173%。</x:v>
      </x:c>
      <x:c r="C2" s="5" t="str">
        <x:v>材料11的待审议状态已被15后续证据更新，不能以1月公告单独停留在待批状态。</x:v>
      </x:c>
      <x:c r="D2" s="5" t="str">
        <x:v>11_2025年度日常关联交易预计公告_20250123.pdf，物理第1页；15_第一次临时股东大会法律意见_20250215.pdf，物理第7—8页</x:v>
      </x:c>
    </x:row>
    <x:row r="3" ht="57" customHeight="1">
      <x:c r="A3" s="5" t="str">
        <x:v>预算及审定执行</x:v>
      </x:c>
      <x:c r="B3" s="5" t="str">
        <x:v>2024美元采购预算与2025预算分别管理；2024审定采购全球3,468,882,026.17元、GDS90,937,545.47元、基立福上海1,958,880.00元。</x:v>
      </x:c>
      <x:c r="C3" s="5" t="str">
        <x:v>年报概览的万元数与审计附注精确元数是舍入层级，不将1,958,900元写成审计附注原值。美元实际4.87亿、0.13亿为披露的概数，不据此推唯一结算汇率。</x:v>
      </x:c>
      <x:c r="D3" s="5" t="str">
        <x:v>03_独家代理协议及关联交易公告_20240122.pdf，物理第1—2页；11_2025年度日常关联交易预计公告_20250123.pdf，物理第2—3页；13_2024年年度报告_20250418.pdf，物理第88—89、305页</x:v>
      </x:c>
    </x:row>
    <x:row r="4" ht="57" customHeight="1">
      <x:c r="A4" s="5" t="str">
        <x:v>预算不等于最低量</x:v>
      </x:c>
      <x:c r="B4" s="5" t="str">
        <x:v>2024全球采购实际4.87/预算5.62约86.65%，GDS约65%；下降本身不足以认定合同最低供货或采购量违约。</x:v>
      </x:c>
      <x:c r="C4" s="5" t="str">
        <x:v>公告说明订单在10%浮动内、进口批签发及单价下降、部分GDS产品推迟进口；原件未附产品量表、订单及变更确认，应核实后再确定责任。</x:v>
      </x:c>
      <x:c r="D4" s="5" t="str">
        <x:v>11_2025年度日常关联交易预计公告_20250123.pdf，物理第2—3页；07_独家代理协议第九次修正公告_20240619.pdf，物理第3—4页；13_2024年年度报告_20250418.pdf，物理第89页</x:v>
      </x:c>
    </x:row>
    <x:row r="5" ht="42" customHeight="1">
      <x:c r="A5" s="5" t="str">
        <x:v>币种与期间</x:v>
      </x:c>
      <x:c r="B5" s="5" t="str">
        <x:v>2024截至5月31日三方交易合计1,234,895,600元，只是阶段执行；不能与全年美元预算或2025截至1月16日未经审计数直接相加。</x:v>
      </x:c>
      <x:c r="C5" s="5" t="str">
        <x:v>2025预算美元5.2亿加0.2亿为5.4亿；人民币海尔生物5,000万元加基立福上海195.89万元为5,195.89万元；未提供汇率，不作跨币种总额。</x:v>
      </x:c>
      <x:c r="D5" s="5" t="str">
        <x:v>08_排他性战略合作总协议公告_20240619.pdf，物理第9页；11_2025年度日常关联交易预计公告_20250123.pdf，物理第1—3页</x:v>
      </x:c>
    </x:row>
    <x:row r="6" ht="42" customHeight="1">
      <x:c r="A6" s="5" t="str">
        <x:v>安慰函与担保</x:v>
      </x:c>
      <x:c r="B6" s="5" t="str">
        <x:v>年报明确公司向供方出具的安慰函为同路医药提供付款保证，构成担保；2024额度全球5.62亿美元、GDS0.2亿美元，期限按2023年度股东大会审议通过日起一年并逐年续审。</x:v>
      </x:c>
      <x:c r="C6" s="5" t="str">
        <x:v>收件人是关联供方，不等于被担保人是供方；被担保人是公司子公司同路医药。不能仅凭“安慰函”名称认定无法律责任，也不能以采购预算批准替代担保批准。</x:v>
      </x:c>
      <x:c r="D6" s="5" t="str">
        <x:v>13_2024年年度报告_20250418.pdf，物理第91—93页；21_股票上市规则_2024年修订.pdf，物理第70—71页</x:v>
      </x:c>
    </x:row>
    <x:row r="7" ht="57" customHeight="1">
      <x:c r="A7" s="5" t="str">
        <x:v>担保余额与额度</x:v>
      </x:c>
      <x:c r="B7" s="5" t="str">
        <x:v>2024年末余额14,320.83万美元包括同路医药对基立福全球、GDS及基立福上海应付账款；两份5.82亿美元名义额度对应全球及GDS，范围不完全一致。不得直接作同口径利用率或全部损失。</x:v>
      </x:c>
      <x:c r="C7" s="5" t="str">
        <x:v>取得安慰函及余额明细再比较额度占用。年报担保段年份不一致，按2024年5月21日股东会事实及决议全文核验一年期限、替代关系和续期。无实际到期损失证据，不认定已发生损失。</x:v>
      </x:c>
      <x:c r="D7" s="5" t="str">
        <x:v>13_2024年年度报告_20250418.pdf，物理第92—93页</x:v>
      </x:c>
    </x:row>
    <x:row r="8" ht="42" customHeight="1">
      <x:c r="A8" s="5" t="str">
        <x:v>关联程序</x:v>
      </x:c>
      <x:c r="B8" s="5" t="str">
        <x:v>关联董事及股东分别回避，不得代他人投票；非关联董事不足三人时提交股东会。关联交易首次无金额协议、重大条款变更、续签、年度超预计等按上市规则6.3.19处理。</x:v>
      </x:c>
      <x:c r="C8" s="5" t="str">
        <x:v>交易所规则6.3.7对日常关联交易免审计评估，不等于免审议披露；连续十二个月同一关联人及同标的交易累计适用。</x:v>
      </x:c>
      <x:c r="D8" s="5" t="str">
        <x:v>21_股票上市规则_2024年修订.pdf，物理第78—84页</x:v>
      </x:c>
    </x:row>
    <x:row r="9" ht="87" customHeight="1">
      <x:c r="A9" s="5" t="str">
        <x:v>规则时点</x:v>
      </x:c>
      <x:c r="B9" s="5" t="str">
        <x:v>历史交易按对应期间披露和当时规则审查；2025年4月21日采用2023修订公司法、2025修正收购办法和2024上市规则。</x:v>
      </x:c>
      <x:c r="C9" s="5" t="str">
        <x:v>收购办法第74条的十八个月限制及同一实际控制人例外分别核对；修正会议日期不直接当公布施行日。未提供的法规、境外法及公司章程，不用于独立作出确定合法性结论。</x:v>
      </x:c>
      <x:c r="D9" s="5" t="str">
        <x:v>17_公司法_2023年修订_官方网页打印件.pdf，物理第1、26页；19_上市公司收购管理办法_2020年修正.pdf，物理第1页；20_股票上市规则_2023年8月修订.pdf，物理第1页；21_股票上市规则_2024年修订.pdf，物理第1页；28_上市公司收购管理办法_2025年修正.pdf，物理第1、34—35页</x:v>
      </x:c>
    </x:row>
    <x:row r="10" ht="57" customHeight="1">
      <x:c r="A10" s="5" t="str">
        <x:v>披露日期异常</x:v>
      </x:c>
      <x:c r="B10" s="5" t="str">
        <x:v>2024年年报承诺表注把战略合作公告日期写为2025年6月19日，与年报出具日及原公告不合。应按2024年6月18日签署、6月19日披露的原公告核实。</x:v>
      </x:c>
      <x:c r="C10" s="5" t="str">
        <x:v>记录明显日期冲突并申请公司核对，不据该处日期将相关协议排除在基准日之外，也不直接推断主观造假。</x:v>
      </x:c>
      <x:c r="D10" s="5" t="str">
        <x:v>13_2024年年度报告_20250418.pdf，物理第85页；07_独家代理协议第九次修正公告_20240619.pdf，物理第1、6页；08_排他性战略合作总协议公告_20240619.pdf，物理第1、10页</x:v>
      </x:c>
    </x:row>
    <x:row r="11" ht="72" customHeight="1">
      <x:c r="A11" s="5" t="str">
        <x:v>中介意见签署依据</x:v>
      </x:c>
      <x:c r="B11" s="5" t="str">
        <x:v>申万宏源核查意见由张翼飞于2024年7月31日签署。所附委托书于2024年6月18日签字，自双方签字日起生效，有效至2024年12月31日；历史签署日处于所列期间内。至2025年4月21日，旧委托已经届满。</x:v>
      </x:c>
      <x:c r="C11" s="5" t="str">
        <x:v>依《民法典》第165条、第173条第1项按行为时点审查。不得仅因基准日已届满而否定2024年历史签署，也不能据旧委托证明2025年新增签署权限。委托还受分管范围、须本人签章的例外和内部审批流程约束；法务按拟依赖用途补核相关审批、是否提前终止或变更，新增事项另取当时有效的职权或委托依据，不作历史意见当然无效的推断。</x:v>
      </x:c>
      <x:c r="D11" s="5" t="str">
        <x:v>29_海尔金盈公司债券主承销商核查意见_20240805.pdf，物理第223—225页；18_民法典.pdf，物理第37、39页，第165、173条</x:v>
      </x:c>
    </x:row>
    <x:row r="12" ht="72" customHeight="1">
      <x:c r="A12" s="5" t="str">
        <x:v>核查意见的适用范围</x:v>
      </x:c>
      <x:c r="B12" s="5" t="str">
        <x:v>主承销商就海尔金盈发行公司债券出具核查意见。正文关于收购架构、过户及重组的披露可供交叉核实，但其审查对象及目的不等于上海莱士后续合作事项的专项法律审查。</x:v>
      </x:c>
      <x:c r="C12" s="5" t="str">
        <x:v>其中仍以董事会改组后成为控股股东表述的段落，结合上海莱士后续控制变更公告和年报具体事件使用。中介签章、集团关系或债券发行核查均不替代上海莱士协议生效证明、付款保证文本及自身审议程序。</x:v>
      </x:c>
      <x:c r="D12" s="5" t="str">
        <x:v>29_海尔金盈公司债券主承销商核查意见_20240805.pdf，物理第29、127—128、183—184页；10_控股股东及实际控制人变更公告_20240730.pdf，物理第2页；13_2024年年度报告_20250418.pdf，物理第104—106页</x:v>
      </x:c>
    </x:row>
    <x:row r="13" ht="72" customHeight="1">
      <x:c r="A13" s="5" t="str">
        <x:v>证据归档</x:v>
      </x:c>
      <x:c r="B13" s="5" t="str">
        <x:v>请求取得签署完整协议及附件、价款收付和扣税凭证、表决权委托及质押原件、董事与股东会记录、GDS审计与股利决议、采购订单发票及担保文本。</x:v>
      </x:c>
      <x:c r="C13" s="5" t="str">
        <x:v>将事实依据、合同义务、法定程序分别建立台账。会议法律意见不能代替协议全文；未具备金额和履行事实前，先书面核验与保留权利，再决定具体请求。</x:v>
      </x:c>
      <x:c r="D13" s="5" t="str">
        <x:v>01_详式权益变动报告书_20231230.pdf，物理第16—20页；07_独家代理协议第九次修正公告_20240619.pdf，物理第3—4页；13_2024年年度报告_20250418.pdf，物理第92—93、209—210页；14_第二次临时股东大会法律意见_20240730.pdf，物理第2—3页</x:v>
      </x:c>
    </x:row>
  </x:sheetData>
  <x:pageMargins left="0.7" right="0.7" top="0.75" bottom="0.75" header="0.3" footer="0.3"/>
</x:worksheet>
</file>

<file path=docProps/app.xml><?xml version="1.0" encoding="utf-8"?>
<ns0:Properties xmlns:ns0="http://schemas.openxmlformats.org/officeDocument/2006/extended-properties">
  <ns0:Application>Office Open XML</ns0:Application>
</ns0:Properties>
</file>

<file path=docProps/core.xml><?xml version="1.0" encoding="utf-8"?>
<cp:coreProperties xmlns:cp="http://schemas.openxmlformats.org/package/2006/metadata/core-properties"/>
</file>